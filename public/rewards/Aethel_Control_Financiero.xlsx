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cb07651b3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" sheetId="1" r:id="Rf7946b7f42394f6a"/>
    <x:sheet xmlns:r="http://schemas.openxmlformats.org/officeDocument/2006/relationships" name="Presupuesto" sheetId="2" r:id="Rcf9e0ceb70a84bd4"/>
    <x:sheet xmlns:r="http://schemas.openxmlformats.org/officeDocument/2006/relationships" name="Deudas" sheetId="3" r:id="R3a029140b418430c"/>
    <x:sheet xmlns:r="http://schemas.openxmlformats.org/officeDocument/2006/relationships" name="Emergencia" sheetId="4" r:id="R3d7378358f8246a6"/>
    <x:sheet xmlns:r="http://schemas.openxmlformats.org/officeDocument/2006/relationships" name="Guia" sheetId="5" r:id="R89166dc83ef9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;[Red](&quot;$&quot;#,##0);-"/>
    <x:numFmt numFmtId="201" formatCode="0.0%;[Red](0.0%);-"/>
    <x:numFmt numFmtId="202" formatCode="#,##0;[Red](#,##0);-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008000"/>
      <x:name val="Carlito"/>
    </x:font>
    <x:font>
      <x:b/>
      <x:sz val="11"/>
      <x:color rgb="FF0B1220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sz val="11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FEF3C7"/>
      </x:patternFill>
    </x:fill>
    <x:fill>
      <x:patternFill patternType="solid">
        <x:fgColor rgb="FF172033"/>
      </x:patternFill>
    </x:fill>
    <x:fill>
      <x:patternFill patternType="solid">
        <x:fgColor rgb="FFFFFFFF"/>
      </x:patternFill>
    </x:fill>
    <x:fill>
      <x:patternFill patternType="solid">
        <x:fgColor rgb="FFF59E0B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</x:fills>
  <x:borders count="39">
    <x:border/>
    <x:border>
      <x:left style="medium">
        <x:color rgb="FF0B1220"/>
      </x:left>
      <x:top style="medium">
        <x:color rgb="FF0B1220"/>
      </x:top>
    </x:border>
    <x:border>
      <x:top style="medium">
        <x:color rgb="FF0B1220"/>
      </x:top>
    </x:border>
    <x:border>
      <x:right style="medium">
        <x:color rgb="FF0B1220"/>
      </x:right>
      <x:top style="medium">
        <x:color rgb="FF0B1220"/>
      </x:top>
    </x:border>
    <x:border>
      <x:left style="medium">
        <x:color rgb="FF0B1220"/>
      </x:left>
      <x:bottom style="medium">
        <x:color rgb="FF0B1220"/>
      </x:bottom>
    </x:border>
    <x:border>
      <x:bottom style="medium">
        <x:color rgb="FF0B1220"/>
      </x:bottom>
    </x:border>
    <x:border>
      <x:right style="medium">
        <x:color rgb="FF0B1220"/>
      </x:right>
      <x:bottom style="medium">
        <x:color rgb="FF0B1220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172033"/>
      </x:left>
      <x:top style="thin">
        <x:color rgb="FF172033"/>
      </x:top>
      <x:bottom style="thin">
        <x:color rgb="FF172033"/>
      </x:bottom>
    </x:border>
    <x:border>
      <x:right style="thin">
        <x:color rgb="FF172033"/>
      </x:right>
      <x:top style="thin">
        <x:color rgb="FF172033"/>
      </x:top>
      <x:bottom style="thin">
        <x:color rgb="FF172033"/>
      </x:bottom>
    </x:border>
    <x:border>
      <x:left style="medium">
        <x:color rgb="FFF59E0B"/>
      </x:left>
      <x:top style="medium">
        <x:color rgb="FFF59E0B"/>
      </x:top>
    </x:border>
    <x:border>
      <x:right style="medium">
        <x:color rgb="FFF59E0B"/>
      </x:right>
      <x:top style="medium">
        <x:color rgb="FFF59E0B"/>
      </x:top>
    </x:border>
    <x:border>
      <x:left style="medium">
        <x:color rgb="FFF59E0B"/>
      </x:left>
      <x:bottom style="medium">
        <x:color rgb="FFF59E0B"/>
      </x:bottom>
    </x:border>
    <x:border>
      <x:right style="medium">
        <x:color rgb="FFF59E0B"/>
      </x:right>
      <x:bottom style="medium">
        <x:color rgb="FFF59E0B"/>
      </x:bottom>
    </x:border>
    <x:border>
      <x:top style="medium">
        <x:color rgb="FFF59E0B"/>
      </x:top>
    </x:border>
    <x:border>
      <x:bottom style="medium">
        <x:color rgb="FFF59E0B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2" xfId="0" applyNumberFormat="1" applyFont="1" applyFill="1" applyBorder="1"/>
    <x:xf numFmtId="0" fontId="3" fillId="5" borderId="13" xfId="0" applyNumberFormat="1" applyFont="1" applyFill="1" applyBorder="1"/>
    <x:xf numFmtId="0" fontId="3" fillId="5" borderId="14" xfId="0" applyNumberFormat="1" applyFont="1" applyFill="1" applyBorder="1"/>
    <x:xf numFmtId="0" fontId="3" fillId="5" borderId="15" xfId="0" applyNumberFormat="1" applyFont="1" applyFill="1" applyBorder="1"/>
    <x:xf numFmtId="200" fontId="3" fillId="5" borderId="12" xfId="0" applyNumberFormat="1" applyFont="1" applyFill="1" applyBorder="1"/>
    <x:xf numFmtId="200" fontId="3" fillId="5" borderId="13" xfId="0" applyNumberFormat="1" applyFont="1" applyFill="1" applyBorder="1"/>
    <x:xf numFmtId="200" fontId="3" fillId="5" borderId="14" xfId="0" applyNumberFormat="1" applyFont="1" applyFill="1" applyBorder="1"/>
    <x:xf numFmtId="200" fontId="3" fillId="5" borderId="15" xfId="0" applyNumberFormat="1" applyFont="1" applyFill="1" applyBorder="1"/>
    <x:xf numFmtId="201" fontId="3" fillId="5" borderId="12" xfId="0" applyNumberFormat="1" applyFont="1" applyFill="1" applyBorder="1"/>
    <x:xf numFmtId="201" fontId="3" fillId="5" borderId="13" xfId="0" applyNumberFormat="1" applyFont="1" applyFill="1" applyBorder="1"/>
    <x:xf numFmtId="201" fontId="3" fillId="5" borderId="14" xfId="0" applyNumberFormat="1" applyFont="1" applyFill="1" applyBorder="1"/>
    <x:xf numFmtId="201" fontId="3" fillId="5" borderId="15" xfId="0" applyNumberFormat="1" applyFont="1" applyFill="1" applyBorder="1"/>
    <x:xf numFmtId="0" fontId="2" fillId="5" borderId="0" xfId="0" applyNumberFormat="1" applyFont="1" applyFill="1" applyBorder="1"/>
    <x:xf numFmtId="0" fontId="2" fillId="5" borderId="12" xfId="0" applyNumberFormat="1" applyFont="1" applyFill="1" applyBorder="1"/>
    <x:xf numFmtId="0" fontId="2" fillId="5" borderId="16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7" xfId="0" applyNumberFormat="1" applyFont="1" applyFill="1" applyBorder="1"/>
    <x:xf numFmtId="0" fontId="2" fillId="5" borderId="15" xfId="0" applyNumberFormat="1" applyFont="1" applyFill="1" applyBorder="1"/>
    <x:xf numFmtId="0" fontId="2" fillId="5" borderId="12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7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9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0" fillId="0" borderId="18" xfId="0" applyNumberFormat="1" applyFont="1" applyFill="1" applyBorder="1"/>
    <x:xf numFmtId="200" fontId="5" fillId="0" borderId="18" xfId="0" applyNumberFormat="1" applyFont="1" applyFill="1" applyBorder="1"/>
    <x:xf numFmtId="0" fontId="0" fillId="0" borderId="19" xfId="0" applyNumberFormat="1" applyFont="1" applyFill="1" applyBorder="1"/>
    <x:xf numFmtId="200" fontId="5" fillId="0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4" xfId="0" applyNumberFormat="1" applyFont="1" applyFill="1" applyBorder="1"/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7" xfId="0" applyNumberFormat="1" applyFont="1" applyFill="1" applyBorder="1"/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8" xfId="0" applyNumberFormat="1" applyFont="1" applyFill="1" applyBorder="1"/>
    <x:xf numFmtId="0" fontId="6" fillId="7" borderId="29" xfId="0" applyNumberFormat="1" applyFont="1" applyFill="1" applyBorder="1"/>
    <x:xf numFmtId="0" fontId="6" fillId="7" borderId="30" xfId="0" applyNumberFormat="1" applyFont="1" applyFill="1" applyBorder="1"/>
    <x:xf numFmtId="200" fontId="6" fillId="7" borderId="28" xfId="0" applyNumberFormat="1" applyFont="1" applyFill="1" applyBorder="1"/>
    <x:xf numFmtId="200" fontId="6" fillId="7" borderId="29" xfId="0" applyNumberFormat="1" applyFont="1" applyFill="1" applyBorder="1"/>
    <x:xf numFmtId="200" fontId="6" fillId="7" borderId="3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200" fontId="2" fillId="8" borderId="2" xfId="0" applyNumberFormat="1" applyFont="1" applyFill="1" applyBorder="1"/>
    <x:xf numFmtId="0" fontId="4" fillId="6" borderId="8" xfId="0" applyNumberFormat="1" applyFont="1" applyFill="1" applyBorder="1"/>
    <x:xf numFmtId="0" fontId="4" fillId="6" borderId="8" xfId="0" applyNumberFormat="1" applyFont="1" applyFill="1" applyBorder="1" applyAlignment="1">
      <x:alignment wrapText="1"/>
    </x:xf>
    <x:xf numFmtId="0" fontId="6" fillId="7" borderId="31" xfId="0" applyNumberFormat="1" applyFont="1" applyFill="1" applyBorder="1"/>
    <x:xf numFmtId="0" fontId="6" fillId="7" borderId="32" xfId="0" applyNumberFormat="1" applyFont="1" applyFill="1" applyBorder="1"/>
    <x:xf numFmtId="0" fontId="6" fillId="7" borderId="33" xfId="0" applyNumberFormat="1" applyFont="1" applyFill="1" applyBorder="1"/>
    <x:xf numFmtId="0" fontId="6" fillId="7" borderId="34" xfId="0" applyNumberFormat="1" applyFont="1" applyFill="1" applyBorder="1"/>
    <x:xf numFmtId="0" fontId="6" fillId="7" borderId="35" xfId="0" applyNumberFormat="1" applyFont="1" applyFill="1" applyBorder="1"/>
    <x:xf numFmtId="0" fontId="6" fillId="7" borderId="36" xfId="0" applyNumberFormat="1" applyFont="1" applyFill="1" applyBorder="1"/>
    <x:xf numFmtId="0" fontId="6" fillId="7" borderId="18" xfId="0" applyNumberFormat="1" applyFont="1" applyFill="1" applyBorder="1"/>
    <x:xf numFmtId="0" fontId="6" fillId="7" borderId="37" xfId="0" applyNumberFormat="1" applyFont="1" applyFill="1" applyBorder="1"/>
    <x:xf numFmtId="200" fontId="6" fillId="7" borderId="32" xfId="0" applyNumberFormat="1" applyFont="1" applyFill="1" applyBorder="1"/>
    <x:xf numFmtId="200" fontId="6" fillId="7" borderId="33" xfId="0" applyNumberFormat="1" applyFont="1" applyFill="1" applyBorder="1"/>
    <x:xf numFmtId="200" fontId="0" fillId="0" borderId="0" xfId="0" applyNumberFormat="1" applyFont="1" applyFill="1" applyBorder="1"/>
    <x:xf numFmtId="200" fontId="6" fillId="7" borderId="0" xfId="0" applyNumberFormat="1" applyFont="1" applyFill="1" applyBorder="1"/>
    <x:xf numFmtId="200" fontId="6" fillId="7" borderId="35" xfId="0" applyNumberFormat="1" applyFont="1" applyFill="1" applyBorder="1"/>
    <x:xf numFmtId="200" fontId="6" fillId="7" borderId="18" xfId="0" applyNumberFormat="1" applyFont="1" applyFill="1" applyBorder="1"/>
    <x:xf numFmtId="200" fontId="6" fillId="7" borderId="37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7" borderId="38" xfId="0" applyNumberFormat="1" applyFont="1" applyFill="1" applyBorder="1"/>
    <x:xf numFmtId="202" fontId="6" fillId="7" borderId="28" xfId="0" applyNumberFormat="1" applyFont="1" applyFill="1" applyBorder="1"/>
    <x:xf numFmtId="202" fontId="6" fillId="7" borderId="29" xfId="0" applyNumberFormat="1" applyFont="1" applyFill="1" applyBorder="1"/>
    <x:xf numFmtId="202" fontId="6" fillId="7" borderId="30" xfId="0" applyNumberFormat="1" applyFont="1" applyFill="1" applyBorder="1"/>
    <x:xf numFmtId="201" fontId="6" fillId="7" borderId="32" xfId="0" applyNumberFormat="1" applyFont="1" applyFill="1" applyBorder="1"/>
    <x:xf numFmtId="201" fontId="6" fillId="7" borderId="0" xfId="0" applyNumberFormat="1" applyFont="1" applyFill="1" applyBorder="1"/>
    <x:xf numFmtId="201" fontId="6" fillId="7" borderId="18" xfId="0" applyNumberFormat="1" applyFont="1" applyFill="1" applyBorder="1"/>
    <x:xf numFmtId="202" fontId="0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18" xfId="0" applyNumberFormat="1" applyFont="1" applyFill="1" applyBorder="1"/>
    <x:xf numFmtId="200" fontId="7" fillId="0" borderId="19" xfId="0" applyNumberFormat="1" applyFont="1" applyFill="1" applyBorder="1"/>
    <x:xf numFmtId="200" fontId="7" fillId="8" borderId="0" xfId="0" applyNumberFormat="1" applyFont="1" applyFill="1" applyBorder="1"/>
    <x:xf numFmtId="202" fontId="7" fillId="8" borderId="0" xfId="0" applyNumberFormat="1" applyFont="1" applyFill="1" applyBorder="1"/>
    <x:xf numFmtId="201" fontId="7" fillId="8" borderId="0" xfId="0" applyNumberFormat="1" applyFont="1" applyFill="1" applyBorder="1"/>
    <x:xf numFmtId="200" fontId="2" fillId="8" borderId="0" xfId="0" applyNumberFormat="1" applyFont="1" applyFill="1" applyBorder="1"/>
    <x:xf numFmtId="202" fontId="2" fillId="8" borderId="0" xfId="0" applyNumberFormat="1" applyFont="1" applyFill="1" applyBorder="1"/>
    <x:xf numFmtId="201" fontId="2" fillId="8" borderId="0" xfId="0" applyNumberFormat="1" applyFont="1" applyFill="1" applyBorder="1"/>
    <x:xf numFmtId="0" fontId="0" fillId="0" borderId="32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7" fillId="5" borderId="0" xfId="0" applyNumberFormat="1" applyFont="1" applyFill="1" applyBorder="1"/>
    <x:xf numFmtId="0" fontId="0" fillId="8" borderId="31" xfId="0" applyNumberFormat="1" applyFont="1" applyFill="1" applyBorder="1"/>
    <x:xf numFmtId="0" fontId="0" fillId="8" borderId="32" xfId="0" applyNumberFormat="1" applyFont="1" applyFill="1" applyBorder="1"/>
    <x:xf numFmtId="0" fontId="0" fillId="8" borderId="33" xfId="0" applyNumberFormat="1" applyFont="1" applyFill="1" applyBorder="1"/>
    <x:xf numFmtId="0" fontId="0" fillId="8" borderId="34" xfId="0" applyNumberFormat="1" applyFont="1" applyFill="1" applyBorder="1"/>
    <x:xf numFmtId="0" fontId="0" fillId="8" borderId="35" xfId="0" applyNumberFormat="1" applyFont="1" applyFill="1" applyBorder="1"/>
    <x:xf numFmtId="0" fontId="0" fillId="8" borderId="36" xfId="0" applyNumberFormat="1" applyFont="1" applyFill="1" applyBorder="1"/>
    <x:xf numFmtId="0" fontId="0" fillId="8" borderId="18" xfId="0" applyNumberFormat="1" applyFont="1" applyFill="1" applyBorder="1"/>
    <x:xf numFmtId="0" fontId="0" fillId="8" borderId="37" xfId="0" applyNumberFormat="1" applyFont="1" applyFill="1" applyBorder="1"/>
    <x:xf numFmtId="0" fontId="0" fillId="8" borderId="31" xfId="0" applyNumberFormat="1" applyFont="1" applyFill="1" applyBorder="1" applyAlignment="1">
      <x:alignment wrapText="1"/>
    </x:xf>
    <x:xf numFmtId="0" fontId="0" fillId="8" borderId="32" xfId="0" applyNumberFormat="1" applyFont="1" applyFill="1" applyBorder="1" applyAlignment="1">
      <x:alignment wrapText="1"/>
    </x:xf>
    <x:xf numFmtId="0" fontId="0" fillId="8" borderId="33" xfId="0" applyNumberFormat="1" applyFont="1" applyFill="1" applyBorder="1" applyAlignment="1">
      <x:alignment wrapText="1"/>
    </x:xf>
    <x:xf numFmtId="0" fontId="0" fillId="8" borderId="3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35" xfId="0" applyNumberFormat="1" applyFont="1" applyFill="1" applyBorder="1" applyAlignment="1">
      <x:alignment wrapText="1"/>
    </x:xf>
    <x:xf numFmtId="0" fontId="0" fillId="8" borderId="36" xfId="0" applyNumberFormat="1" applyFont="1" applyFill="1" applyBorder="1" applyAlignment="1">
      <x:alignment wrapText="1"/>
    </x:xf>
    <x:xf numFmtId="0" fontId="0" fillId="8" borderId="18" xfId="0" applyNumberFormat="1" applyFont="1" applyFill="1" applyBorder="1" applyAlignment="1">
      <x:alignment wrapText="1"/>
    </x:xf>
    <x:xf numFmtId="0" fontId="0" fillId="8" borderId="37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314896226466f" /><Relationship Type="http://schemas.openxmlformats.org/officeDocument/2006/relationships/theme" Target="/xl/theme/theme1.xml" Id="R2e097beb7cee4498" /><Relationship Type="http://schemas.openxmlformats.org/officeDocument/2006/relationships/sharedStrings" Target="/xl/sharedStrings.xml" Id="Rda392ef47abd4a6d" /><Relationship Type="http://schemas.openxmlformats.org/officeDocument/2006/relationships/worksheet" Target="/xl/worksheets/sheet1.xml" Id="Rf7946b7f42394f6a" /><Relationship Type="http://schemas.openxmlformats.org/officeDocument/2006/relationships/worksheet" Target="/xl/worksheets/sheet2.xml" Id="Rcf9e0ceb70a84bd4" /><Relationship Type="http://schemas.openxmlformats.org/officeDocument/2006/relationships/worksheet" Target="/xl/worksheets/sheet3.xml" Id="R3a029140b418430c" /><Relationship Type="http://schemas.openxmlformats.org/officeDocument/2006/relationships/worksheet" Target="/xl/worksheets/sheet4.xml" Id="R3d7378358f8246a6" /><Relationship Type="http://schemas.openxmlformats.org/officeDocument/2006/relationships/worksheet" Target="/xl/worksheets/sheet5.xml" Id="R89166dc83ef942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7270f090664e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8a1b90ed20343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Uso mensual del dinero ($ MXN)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Monto</c:v>
          </c:tx>
          <c:cat>
            <c:strRef>
              <c:f>'Panel'!$A$19:$A$22</c:f>
              <c:strCache>
                <c:ptCount val="0"/>
              </c:strCache>
            </c:strRef>
          </c:cat>
          <c:val>
            <c:numRef>
              <c:f>'Panel'!$B$19:$B$22</c:f>
              <c:numCache>
                <c:formatCode>"$"#,##0;[Red]("$"#,##0);-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 del fondo en 12 meses ($ MXN)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'Emergencia'!$E$17:$E$29</c:f>
              <c:strCache>
                <c:ptCount val="0"/>
              </c:strCache>
            </c:strRef>
          </c:cat>
          <c:val>
            <c:numRef>
              <c:f>'Emergencia'!$F$17:$F$29</c:f>
              <c:numCache>
                <c:formatCode>"$"#,##0;[Red]("$"#,##0);-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7270f090664e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a1b90ed20343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ddaecf14e74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b9d2b5617d242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" hidden="0" customWidth="1"/>
    <x:col min="4" max="4" width="16" hidden="0" customWidth="1"/>
    <x:col min="5" max="5" width="16" hidden="0" customWidth="1"/>
    <x:col min="6" max="6" width="3" hidden="0" customWidth="1"/>
    <x:col min="7" max="7" width="16" hidden="0" customWidth="1"/>
    <x:col min="8" max="8" width="16" hidden="0" customWidth="1"/>
  </x:cols>
  <x:sheetData>
    <x:row r="1" ht="34" customHeight="1">
      <x:c r="A1" s="9" t="str">
        <x:v>AETHEL | CONTROL FINANCIERO</x:v>
      </x:c>
      <x:c r="B1" s="10" t="str">
        <x:v>AETHEL | CONTROL FINANCIERO</x:v>
      </x:c>
      <x:c r="C1" s="10" t="str">
        <x:v>AETHEL | CONTROL FINANCIERO</x:v>
      </x:c>
      <x:c r="D1" s="10" t="str">
        <x:v>AETHEL | CONTROL FINANCIERO</x:v>
      </x:c>
      <x:c r="E1" s="10" t="str">
        <x:v>AETHEL | CONTROL FINANCIERO</x:v>
      </x:c>
      <x:c r="F1" s="10" t="str">
        <x:v>AETHEL | CONTROL FINANCIERO</x:v>
      </x:c>
      <x:c r="G1" s="10" t="str">
        <x:v>AETHEL | CONTROL FINANCIERO</x:v>
      </x:c>
      <x:c r="H1" s="11" t="str">
        <x:v>AETHEL | CONTROL FINANCIERO</x:v>
      </x:c>
    </x:row>
    <x:row r="2" ht="34" customHeight="1">
      <x:c r="A2" s="12" t="str">
        <x:v>AETHEL | CONTROL FINANCIERO</x:v>
      </x:c>
      <x:c r="B2" s="13" t="str">
        <x:v>AETHEL | CONTROL FINANCIERO</x:v>
      </x:c>
      <x:c r="C2" s="13" t="str">
        <x:v>AETHEL | CONTROL FINANCIERO</x:v>
      </x:c>
      <x:c r="D2" s="13" t="str">
        <x:v>AETHEL | CONTROL FINANCIERO</x:v>
      </x:c>
      <x:c r="E2" s="13" t="str">
        <x:v>AETHEL | CONTROL FINANCIERO</x:v>
      </x:c>
      <x:c r="F2" s="13" t="str">
        <x:v>AETHEL | CONTROL FINANCIERO</x:v>
      </x:c>
      <x:c r="G2" s="13" t="str">
        <x:v>AETHEL | CONTROL FINANCIERO</x:v>
      </x:c>
      <x:c r="H2" s="14" t="str">
        <x:v>AETHEL | CONTROL FINANCIERO</x:v>
      </x:c>
    </x:row>
    <x:row r="3" ht="30" customHeight="1">
      <x:c r="A3" s="20" t="str">
        <x:v>Plantilla premium de presupuesto, deudas y fondo de emergencia</x:v>
      </x:c>
      <x:c r="B3" s="21" t="str">
        <x:v>Plantilla premium de presupuesto, deudas y fondo de emergencia</x:v>
      </x:c>
      <x:c r="C3" s="21" t="str">
        <x:v>Plantilla premium de presupuesto, deudas y fondo de emergencia</x:v>
      </x:c>
      <x:c r="D3" s="21" t="str">
        <x:v>Plantilla premium de presupuesto, deudas y fondo de emergencia</x:v>
      </x:c>
      <x:c r="E3" s="21" t="str">
        <x:v>Plantilla premium de presupuesto, deudas y fondo de emergencia</x:v>
      </x:c>
      <x:c r="F3" s="21" t="str">
        <x:v>Plantilla premium de presupuesto, deudas y fondo de emergencia</x:v>
      </x:c>
      <x:c r="G3" s="21" t="str">
        <x:v>Plantilla premium de presupuesto, deudas y fondo de emergencia</x:v>
      </x:c>
      <x:c r="H3" s="22" t="str">
        <x:v>Plantilla premium de presupuesto, deudas y fondo de emergencia</x:v>
      </x:c>
    </x:row>
    <x:row r="5">
      <x:c r="A5" s="25" t="str">
        <x:v>INGRESOS MENSUALES</x:v>
      </x:c>
      <x:c r="B5" s="26" t="str">
        <x:v>INGRESOS MENSUALES</x:v>
      </x:c>
      <x:c r="D5" s="25" t="str">
        <x:v>GASTOS REALES</x:v>
      </x:c>
      <x:c r="E5" s="26" t="str">
        <x:v>GASTOS REALES</x:v>
      </x:c>
      <x:c r="G5" s="25" t="str">
        <x:v>FLUJO LIBRE</x:v>
      </x:c>
      <x:c r="H5" s="26" t="str">
        <x:v>FLUJO LIBRE</x:v>
      </x:c>
    </x:row>
    <x:row r="6" ht="32" customHeight="1">
      <x:c r="A6" s="33" t="n">
        <x:f>'Presupuesto'!B8</x:f>
        <x:v>15000</x:v>
      </x:c>
      <x:c r="B6" s="34"/>
      <x:c r="D6" s="33" t="n">
        <x:f>'Presupuesto'!H5</x:f>
        <x:v>14000</x:v>
      </x:c>
      <x:c r="E6" s="34"/>
      <x:c r="G6" s="33" t="n">
        <x:f>'Presupuesto'!H10</x:f>
        <x:v>1000</x:v>
      </x:c>
      <x:c r="H6" s="34"/>
    </x:row>
    <x:row r="7" ht="32" customHeight="1">
      <x:c r="A7" s="35"/>
      <x:c r="B7" s="36"/>
      <x:c r="D7" s="35"/>
      <x:c r="E7" s="36"/>
      <x:c r="G7" s="35"/>
      <x:c r="H7" s="36"/>
    </x:row>
    <x:row r="9">
      <x:c r="A9" s="25" t="str">
        <x:v>DEUDA TOTAL</x:v>
      </x:c>
      <x:c r="B9" s="26" t="str">
        <x:v>DEUDA TOTAL</x:v>
      </x:c>
      <x:c r="D9" s="25" t="str">
        <x:v>META DE EMERGENCIA</x:v>
      </x:c>
      <x:c r="E9" s="26" t="str">
        <x:v>META DE EMERGENCIA</x:v>
      </x:c>
      <x:c r="G9" s="25" t="str">
        <x:v>FONDO COMPLETADO</x:v>
      </x:c>
      <x:c r="H9" s="26" t="str">
        <x:v>FONDO COMPLETADO</x:v>
      </x:c>
    </x:row>
    <x:row r="10" ht="32" customHeight="1">
      <x:c r="A10" s="33" t="n">
        <x:f>'Deudas'!M5</x:f>
        <x:v>28000</x:v>
      </x:c>
      <x:c r="B10" s="34"/>
      <x:c r="D10" s="33" t="n">
        <x:f>'Emergencia'!B9</x:f>
        <x:v>25500</x:v>
      </x:c>
      <x:c r="E10" s="34"/>
      <x:c r="G10" s="37" t="n">
        <x:f>'Emergencia'!B12</x:f>
        <x:v>0.0392156862745098</x:v>
      </x:c>
      <x:c r="H10" s="38"/>
    </x:row>
    <x:row r="11" ht="32" customHeight="1">
      <x:c r="A11" s="35"/>
      <x:c r="B11" s="36"/>
      <x:c r="D11" s="35"/>
      <x:c r="E11" s="36"/>
      <x:c r="G11" s="39"/>
      <x:c r="H11" s="40"/>
    </x:row>
    <x:row r="13" ht="24" customHeight="1">
      <x:c r="A13" s="24" t="str">
        <x:v>ESTADO DEL MES</x:v>
      </x:c>
      <x:c r="B13" s="24" t="str">
        <x:v>ESTADO DEL MES</x:v>
      </x:c>
      <x:c r="C13" s="24" t="str">
        <x:v>ESTADO DEL MES</x:v>
      </x:c>
      <x:c r="D13" s="24" t="str">
        <x:v>ESTADO DEL MES</x:v>
      </x:c>
      <x:c r="E13" s="24" t="str">
        <x:v>ESTADO DEL MES</x:v>
      </x:c>
      <x:c r="F13" s="24" t="str">
        <x:v>ESTADO DEL MES</x:v>
      </x:c>
      <x:c r="G13" s="24" t="str">
        <x:v>ESTADO DEL MES</x:v>
      </x:c>
      <x:c r="H13" s="24" t="str">
        <x:v>ESTADO DEL MES</x:v>
      </x:c>
    </x:row>
    <x:row r="14">
      <x:c r="A14" s="48" t="str">
        <x:f>IF('Presupuesto'!H9&lt;0,"DÉFICIT: recorta gastos o aumenta ingresos",IF('Emergencia'!B12&lt;1,"EN PROGRESO: dirige el flujo libre al fondo","CONTROLADO: mantén el plan"))</x:f>
        <x:v>EN PROGRESO: dirige el flujo libre al fondo</x:v>
      </x:c>
      <x:c r="B14" s="49"/>
      <x:c r="C14" s="49"/>
      <x:c r="D14" s="49"/>
      <x:c r="E14" s="49"/>
      <x:c r="F14" s="49"/>
      <x:c r="G14" s="49"/>
      <x:c r="H14" s="50"/>
    </x:row>
    <x:row r="15">
      <x:c r="A15" s="51"/>
      <x:c r="B15" s="52"/>
      <x:c r="C15" s="52"/>
      <x:c r="D15" s="52"/>
      <x:c r="E15" s="52"/>
      <x:c r="F15" s="52"/>
      <x:c r="G15" s="52"/>
      <x:c r="H15" s="53"/>
    </x:row>
    <x:row r="17" ht="24" customHeight="1">
      <x:c r="A17" s="24" t="str">
        <x:v>DISTRIBUCIÓN ACTUAL</x:v>
      </x:c>
      <x:c r="B17" s="24" t="str">
        <x:v>DISTRIBUCIÓN ACTUAL</x:v>
      </x:c>
      <x:c r="C17" s="24" t="str">
        <x:v>DISTRIBUCIÓN ACTUAL</x:v>
      </x:c>
      <x:c r="D17" s="24" t="str">
        <x:v>DISTRIBUCIÓN ACTUAL</x:v>
      </x:c>
      <x:c r="E17" s="24" t="str">
        <x:v>DISTRIBUCIÓN ACTUAL</x:v>
      </x:c>
      <x:c r="F17" s="24" t="str">
        <x:v>DISTRIBUCIÓN ACTUAL</x:v>
      </x:c>
      <x:c r="G17" s="24" t="str">
        <x:v>DISTRIBUCIÓN ACTUAL</x:v>
      </x:c>
      <x:c r="H17" s="24" t="str">
        <x:v>DISTRIBUCIÓN ACTUAL</x:v>
      </x:c>
    </x:row>
    <x:row r="18" ht="28" customHeight="1">
      <x:c r="A18" s="58" t="str">
        <x:v>Categoría</x:v>
      </x:c>
      <x:c r="B18" s="59" t="str">
        <x:v>Monto</x:v>
      </x:c>
    </x:row>
    <x:row r="19">
      <x:c r="A19" s="62" t="str">
        <x:v>Necesidades</x:v>
      </x:c>
      <x:c r="B19" s="63" t="n">
        <x:f>'Presupuesto'!H6</x:f>
        <x:v>10200</x:v>
      </x:c>
    </x:row>
    <x:row r="20">
      <x:c r="A20" s="64" t="str">
        <x:v>Deseos</x:v>
      </x:c>
      <x:c r="B20" s="65" t="n">
        <x:f>'Presupuesto'!H7</x:f>
        <x:v>1500</x:v>
      </x:c>
    </x:row>
    <x:row r="21">
      <x:c r="A21" s="64" t="str">
        <x:v>Deuda</x:v>
      </x:c>
      <x:c r="B21" s="65" t="n">
        <x:f>'Presupuesto'!H8</x:f>
        <x:v>1500</x:v>
      </x:c>
    </x:row>
    <x:row r="22">
      <x:c r="A22" s="64" t="str">
        <x:v>Ahorro</x:v>
      </x:c>
      <x:c r="B22" s="65" t="n">
        <x:f>'Presupuesto'!H9</x:f>
        <x:v>800</x:v>
      </x:c>
    </x:row>
    <x:row r="24" ht="28" customHeight="1">
      <x:c r="A24" s="58" t="str">
        <x:v>Regla</x:v>
      </x:c>
      <x:c r="B24" s="59" t="str">
        <x:v>Resultado</x:v>
      </x:c>
    </x:row>
    <x:row r="25">
      <x:c r="A25" t="str">
        <x:v>Necesidades ≤ 50%</x:v>
      </x:c>
      <x:c r="B25" t="str">
        <x:f>IF('Presupuesto'!H12&lt;=50%,"OK","REVISAR")</x:f>
        <x:v>REVISAR</x:v>
      </x:c>
    </x:row>
    <x:row r="26">
      <x:c r="A26" t="str">
        <x:v>Deseos ≤ 30%</x:v>
      </x:c>
      <x:c r="B26" t="str">
        <x:f>IF('Presupuesto'!H13&lt;=30%,"OK","REVISAR")</x:f>
        <x:v>OK</x:v>
      </x:c>
    </x:row>
    <x:row r="33" ht="30" customHeight="1">
      <x:c r="A33" s="74" t="str">
        <x:v>Empieza en Presupuesto. Cambia únicamente las celdas azules; el Panel se actualizará automáticamente.</x:v>
      </x:c>
      <x:c r="B33" s="75" t="str">
        <x:v>Empieza en Presupuesto. Cambia únicamente las celdas azules; el Panel se actualizará automáticamente.</x:v>
      </x:c>
      <x:c r="C33" s="75" t="str">
        <x:v>Empieza en Presupuesto. Cambia únicamente las celdas azules; el Panel se actualizará automáticamente.</x:v>
      </x:c>
      <x:c r="D33" s="75" t="str">
        <x:v>Empieza en Presupuesto. Cambia únicamente las celdas azules; el Panel se actualizará automáticamente.</x:v>
      </x:c>
      <x:c r="E33" s="75" t="str">
        <x:v>Empieza en Presupuesto. Cambia únicamente las celdas azules; el Panel se actualizará automáticamente.</x:v>
      </x:c>
      <x:c r="F33" s="75" t="str">
        <x:v>Empieza en Presupuesto. Cambia únicamente las celdas azules; el Panel se actualizará automáticamente.</x:v>
      </x:c>
      <x:c r="G33" s="75" t="str">
        <x:v>Empieza en Presupuesto. Cambia únicamente las celdas azules; el Panel se actualizará automáticamente.</x:v>
      </x:c>
      <x:c r="H33" s="76" t="str">
        <x:v>Empieza en Presupuesto. Cambia únicamente las celdas azules; el Panel se actualizará automáticamente.</x:v>
      </x:c>
    </x:row>
    <x:row r="34" ht="30" customHeight="1">
      <x:c r="A34" s="77" t="str">
        <x:v>Empieza en Presupuesto. Cambia únicamente las celdas azules; el Panel se actualizará automáticamente.</x:v>
      </x:c>
      <x:c r="B34" s="78" t="str">
        <x:v>Empieza en Presupuesto. Cambia únicamente las celdas azules; el Panel se actualizará automáticamente.</x:v>
      </x:c>
      <x:c r="C34" s="78" t="str">
        <x:v>Empieza en Presupuesto. Cambia únicamente las celdas azules; el Panel se actualizará automáticamente.</x:v>
      </x:c>
      <x:c r="D34" s="78" t="str">
        <x:v>Empieza en Presupuesto. Cambia únicamente las celdas azules; el Panel se actualizará automáticamente.</x:v>
      </x:c>
      <x:c r="E34" s="78" t="str">
        <x:v>Empieza en Presupuesto. Cambia únicamente las celdas azules; el Panel se actualizará automáticamente.</x:v>
      </x:c>
      <x:c r="F34" s="78" t="str">
        <x:v>Empieza en Presupuesto. Cambia únicamente las celdas azules; el Panel se actualizará automáticamente.</x:v>
      </x:c>
      <x:c r="G34" s="78" t="str">
        <x:v>Empieza en Presupuesto. Cambia únicamente las celdas azules; el Panel se actualizará automáticamente.</x:v>
      </x:c>
      <x:c r="H34" s="79" t="str">
        <x:v>Empieza en Presupuesto. Cambia únicamente las celdas azules; el Panel se actualizará automáticamente.</x:v>
      </x:c>
    </x:row>
    <x:row r="35" ht="30" customHeight="1">
      <x:c r="A35" s="80" t="str">
        <x:v>Empieza en Presupuesto. Cambia únicamente las celdas azules; el Panel se actualizará automáticamente.</x:v>
      </x:c>
      <x:c r="B35" s="81" t="str">
        <x:v>Empieza en Presupuesto. Cambia únicamente las celdas azules; el Panel se actualizará automáticamente.</x:v>
      </x:c>
      <x:c r="C35" s="81" t="str">
        <x:v>Empieza en Presupuesto. Cambia únicamente las celdas azules; el Panel se actualizará automáticamente.</x:v>
      </x:c>
      <x:c r="D35" s="81" t="str">
        <x:v>Empieza en Presupuesto. Cambia únicamente las celdas azules; el Panel se actualizará automáticamente.</x:v>
      </x:c>
      <x:c r="E35" s="81" t="str">
        <x:v>Empieza en Presupuesto. Cambia únicamente las celdas azules; el Panel se actualizará automáticamente.</x:v>
      </x:c>
      <x:c r="F35" s="81" t="str">
        <x:v>Empieza en Presupuesto. Cambia únicamente las celdas azules; el Panel se actualizará automáticamente.</x:v>
      </x:c>
      <x:c r="G35" s="81" t="str">
        <x:v>Empieza en Presupuesto. Cambia únicamente las celdas azules; el Panel se actualizará automáticamente.</x:v>
      </x:c>
      <x:c r="H35" s="82" t="str">
        <x:v>Empieza en Presupuesto. Cambia únicamente las celdas azules; el Panel se actualizará automáticamente.</x:v>
      </x:c>
    </x:row>
  </x:sheetData>
  <x:mergeCells>
    <x:mergeCell ref="A1:H2"/>
    <x:mergeCell ref="A3:H3"/>
    <x:mergeCell ref="A5:B5"/>
    <x:mergeCell ref="A6:B7"/>
    <x:mergeCell ref="D5:E5"/>
    <x:mergeCell ref="D6:E7"/>
    <x:mergeCell ref="G5:H5"/>
    <x:mergeCell ref="G6:H7"/>
    <x:mergeCell ref="A9:B9"/>
    <x:mergeCell ref="A10:B11"/>
    <x:mergeCell ref="D9:E9"/>
    <x:mergeCell ref="D10:E11"/>
    <x:mergeCell ref="G9:H9"/>
    <x:mergeCell ref="G10:H11"/>
    <x:mergeCell ref="A13:H13"/>
    <x:mergeCell ref="A14:H15"/>
    <x:mergeCell ref="A17:H17"/>
    <x:mergeCell ref="A33:H35"/>
  </x:mergeCells>
  <x:conditionalFormatting sqref="A14:H15">
    <x:cfRule type="containsText" dxfId="0" priority="1" operator="containsText" text="DÉFICIT"/>
    <x:cfRule type="containsText" dxfId="1" priority="2" operator="containsText" text="CONTROLADO"/>
  </x:conditionalFormatting>
  <x:conditionalFormatting sqref="B25:B26">
    <x:cfRule type="containsText" dxfId="2" priority="3" operator="containsText" text="OK"/>
    <x:cfRule type="containsText" dxfId="3" priority="4" operator="containsText" text="REVISAR"/>
  </x:conditionalFormatting>
  <x:pageMargins left="0.7" right="0.7" top="0.75" bottom="0.75" header="0.3" footer="0.3"/>
  <x:drawing xmlns:r="http://schemas.openxmlformats.org/officeDocument/2006/relationships" r:id="R76ddaecf14e74d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22" hidden="0" customWidth="1"/>
    <x:col min="8" max="8" width="16" hidden="0" customWidth="1"/>
  </x:cols>
  <x:sheetData>
    <x:row r="1" ht="34" customHeight="1">
      <x:c r="A1" s="9" t="str">
        <x:v>PRESUPUESTO MENSUAL</x:v>
      </x:c>
      <x:c r="B1" s="10" t="str">
        <x:v>PRESUPUESTO MENSUAL</x:v>
      </x:c>
      <x:c r="C1" s="10" t="str">
        <x:v>PRESUPUESTO MENSUAL</x:v>
      </x:c>
      <x:c r="D1" s="10" t="str">
        <x:v>PRESUPUESTO MENSUAL</x:v>
      </x:c>
      <x:c r="E1" s="10" t="str">
        <x:v>PRESUPUESTO MENSUAL</x:v>
      </x:c>
      <x:c r="F1" s="10" t="str">
        <x:v>PRESUPUESTO MENSUAL</x:v>
      </x:c>
      <x:c r="G1" s="10" t="str">
        <x:v>PRESUPUESTO MENSUAL</x:v>
      </x:c>
      <x:c r="H1" s="11" t="str">
        <x:v>PRESUPUESTO MENSUAL</x:v>
      </x:c>
    </x:row>
    <x:row r="2" ht="34" customHeight="1">
      <x:c r="A2" s="12" t="str">
        <x:v>PRESUPUESTO MENSUAL</x:v>
      </x:c>
      <x:c r="B2" s="13" t="str">
        <x:v>PRESUPUESTO MENSUAL</x:v>
      </x:c>
      <x:c r="C2" s="13" t="str">
        <x:v>PRESUPUESTO MENSUAL</x:v>
      </x:c>
      <x:c r="D2" s="13" t="str">
        <x:v>PRESUPUESTO MENSUAL</x:v>
      </x:c>
      <x:c r="E2" s="13" t="str">
        <x:v>PRESUPUESTO MENSUAL</x:v>
      </x:c>
      <x:c r="F2" s="13" t="str">
        <x:v>PRESUPUESTO MENSUAL</x:v>
      </x:c>
      <x:c r="G2" s="13" t="str">
        <x:v>PRESUPUESTO MENSUAL</x:v>
      </x:c>
      <x:c r="H2" s="14" t="str">
        <x:v>PRESUPUESTO MENSUAL</x:v>
      </x:c>
    </x:row>
    <x:row r="3" ht="30" customHeight="1">
      <x:c r="A3" s="20" t="str">
        <x:v>EJEMPLO: reemplaza las celdas azules con tus cifras reales</x:v>
      </x:c>
      <x:c r="B3" s="21" t="str">
        <x:v>EJEMPLO: reemplaza las celdas azules con tus cifras reales</x:v>
      </x:c>
      <x:c r="C3" s="21" t="str">
        <x:v>EJEMPLO: reemplaza las celdas azules con tus cifras reales</x:v>
      </x:c>
      <x:c r="D3" s="21" t="str">
        <x:v>EJEMPLO: reemplaza las celdas azules con tus cifras reales</x:v>
      </x:c>
      <x:c r="E3" s="21" t="str">
        <x:v>EJEMPLO: reemplaza las celdas azules con tus cifras reales</x:v>
      </x:c>
      <x:c r="F3" s="21" t="str">
        <x:v>EJEMPLO: reemplaza las celdas azules con tus cifras reales</x:v>
      </x:c>
      <x:c r="G3" s="21" t="str">
        <x:v>EJEMPLO: reemplaza las celdas azules con tus cifras reales</x:v>
      </x:c>
      <x:c r="H3" s="22" t="str">
        <x:v>EJEMPLO: reemplaza las celdas azules con tus cifras reales</x:v>
      </x:c>
    </x:row>
    <x:row r="4" ht="24" customHeight="1">
      <x:c r="A4" s="24" t="str">
        <x:v>INGRESOS</x:v>
      </x:c>
      <x:c r="B4" s="24" t="str">
        <x:v>INGRESOS</x:v>
      </x:c>
      <x:c r="C4" s="24" t="str">
        <x:v>INGRESOS</x:v>
      </x:c>
      <x:c r="D4" s="24" t="str">
        <x:v>INGRESOS</x:v>
      </x:c>
      <x:c r="G4" s="24" t="str">
        <x:v>RESUMEN</x:v>
      </x:c>
      <x:c r="H4" s="24" t="str">
        <x:v>RESUMEN</x:v>
      </x:c>
    </x:row>
    <x:row r="5">
      <x:c r="A5" t="str">
        <x:v>Ingreso fijo mensual</x:v>
      </x:c>
      <x:c r="B5" s="88" t="n">
        <x:v>13000</x:v>
      </x:c>
      <x:c r="G5" t="str">
        <x:v>Gastos reales</x:v>
      </x:c>
      <x:c r="H5" s="112" t="n">
        <x:f>D23</x:f>
        <x:v>14000</x:v>
      </x:c>
    </x:row>
    <x:row r="6">
      <x:c r="A6" t="str">
        <x:v>Ingreso variable estimado</x:v>
      </x:c>
      <x:c r="B6" s="89" t="n">
        <x:v>2000</x:v>
      </x:c>
      <x:c r="G6" t="str">
        <x:v>Necesidades</x:v>
      </x:c>
      <x:c r="H6" s="112" t="n">
        <x:f>SUMIF(B12:B22,"Necesidad",D12:D22)</x:f>
        <x:v>10200</x:v>
      </x:c>
    </x:row>
    <x:row r="7">
      <x:c r="A7" t="str">
        <x:v>Otros ingresos</x:v>
      </x:c>
      <x:c r="B7" s="90" t="n">
        <x:v>0</x:v>
      </x:c>
      <x:c r="G7" t="str">
        <x:v>Deseos</x:v>
      </x:c>
      <x:c r="H7" s="112" t="n">
        <x:f>SUMIF(B12:B22,"Deseo",D12:D22)</x:f>
        <x:v>1500</x:v>
      </x:c>
    </x:row>
    <x:row r="8">
      <x:c r="A8" s="94" t="str">
        <x:v>Ingreso total</x:v>
      </x:c>
      <x:c r="B8" s="94" t="n">
        <x:f>SUM(B5:B7)</x:f>
        <x:v>15000</x:v>
      </x:c>
      <x:c r="G8" t="str">
        <x:v>Deuda</x:v>
      </x:c>
      <x:c r="H8" s="112" t="n">
        <x:f>SUMIF(B12:B22,"Deuda",D12:D22)</x:f>
        <x:v>1500</x:v>
      </x:c>
    </x:row>
    <x:row r="9">
      <x:c r="G9" t="str">
        <x:v>Ahorro</x:v>
      </x:c>
      <x:c r="H9" s="112" t="n">
        <x:f>SUMIF(B12:B22,"Ahorro",D12:D22)</x:f>
        <x:v>800</x:v>
      </x:c>
    </x:row>
    <x:row r="10" ht="24" customHeight="1">
      <x:c r="A10" s="24" t="str">
        <x:v>GASTOS</x:v>
      </x:c>
      <x:c r="B10" s="24" t="str">
        <x:v>GASTOS</x:v>
      </x:c>
      <x:c r="C10" s="24" t="str">
        <x:v>GASTOS</x:v>
      </x:c>
      <x:c r="D10" s="24" t="str">
        <x:v>GASTOS</x:v>
      </x:c>
      <x:c r="E10" s="24" t="str">
        <x:v>GASTOS</x:v>
      </x:c>
      <x:c r="G10" t="str">
        <x:v>Flujo libre</x:v>
      </x:c>
      <x:c r="H10" s="112" t="n">
        <x:f>B8-D23</x:f>
        <x:v>1000</x:v>
      </x:c>
    </x:row>
    <x:row r="11" ht="28" customHeight="1">
      <x:c r="A11" s="58" t="str">
        <x:v>Categoría</x:v>
      </x:c>
      <x:c r="B11" s="96" t="str">
        <x:v>Tipo</x:v>
      </x:c>
      <x:c r="C11" s="96" t="str">
        <x:v>Planeado</x:v>
      </x:c>
      <x:c r="D11" s="96" t="str">
        <x:v>Real</x:v>
      </x:c>
      <x:c r="E11" s="59" t="str">
        <x:v>Diferencia</x:v>
      </x:c>
      <x:c r="G11" t="str"/>
      <x:c r="H11" t="str"/>
    </x:row>
    <x:row r="12">
      <x:c r="A12" t="str">
        <x:v>Vivienda</x:v>
      </x:c>
      <x:c r="B12" s="97" t="str">
        <x:v>Necesidad</x:v>
      </x:c>
      <x:c r="C12" s="105" t="n">
        <x:v>4500</x:v>
      </x:c>
      <x:c r="D12" s="106" t="n">
        <x:v>4500</x:v>
      </x:c>
      <x:c r="E12" s="112" t="n">
        <x:f>C12-D12</x:f>
        <x:v>0</x:v>
      </x:c>
      <x:c r="G12" t="str">
        <x:v>Necesidades %</x:v>
      </x:c>
      <x:c r="H12" s="114" t="n">
        <x:f>IF(B8=0,0,H6/B8)</x:f>
        <x:v>0.68</x:v>
      </x:c>
    </x:row>
    <x:row r="13">
      <x:c r="A13" t="str">
        <x:v>Alimentación</x:v>
      </x:c>
      <x:c r="B13" s="100" t="str">
        <x:v>Necesidad</x:v>
      </x:c>
      <x:c r="C13" s="108" t="n">
        <x:v>2500</x:v>
      </x:c>
      <x:c r="D13" s="109" t="n">
        <x:v>2500</x:v>
      </x:c>
      <x:c r="E13" s="112" t="n">
        <x:f>C13-D13</x:f>
        <x:v>0</x:v>
      </x:c>
      <x:c r="G13" t="str">
        <x:v>Deseos %</x:v>
      </x:c>
      <x:c r="H13" s="114" t="n">
        <x:f>IF(B8=0,0,H7/B8)</x:f>
        <x:v>0.1</x:v>
      </x:c>
    </x:row>
    <x:row r="14">
      <x:c r="A14" t="str">
        <x:v>Transporte</x:v>
      </x:c>
      <x:c r="B14" s="100" t="str">
        <x:v>Necesidad</x:v>
      </x:c>
      <x:c r="C14" s="108" t="n">
        <x:v>1200</x:v>
      </x:c>
      <x:c r="D14" s="109" t="n">
        <x:v>1200</x:v>
      </x:c>
      <x:c r="E14" s="112" t="n">
        <x:f>C14-D14</x:f>
        <x:v>0</x:v>
      </x:c>
      <x:c r="G14" t="str">
        <x:v>Metas %</x:v>
      </x:c>
      <x:c r="H14" s="114" t="n">
        <x:f>IF(B8=0,0,(H8+H9)/B8)</x:f>
        <x:v>0.15333333333333332</x:v>
      </x:c>
    </x:row>
    <x:row r="15">
      <x:c r="A15" t="str">
        <x:v>Salud</x:v>
      </x:c>
      <x:c r="B15" s="100" t="str">
        <x:v>Necesidad</x:v>
      </x:c>
      <x:c r="C15" s="108" t="n">
        <x:v>400</x:v>
      </x:c>
      <x:c r="D15" s="109" t="n">
        <x:v>400</x:v>
      </x:c>
      <x:c r="E15" s="112" t="n">
        <x:f>C15-D15</x:f>
        <x:v>0</x:v>
      </x:c>
      <x:c r="G15" t="str">
        <x:v>Objetivo necesidades</x:v>
      </x:c>
      <x:c r="H15" s="115" t="n">
        <x:v>0.5</x:v>
      </x:c>
    </x:row>
    <x:row r="16">
      <x:c r="A16" t="str">
        <x:v>Internet y teléfono</x:v>
      </x:c>
      <x:c r="B16" s="100" t="str">
        <x:v>Necesidad</x:v>
      </x:c>
      <x:c r="C16" s="108" t="n">
        <x:v>600</x:v>
      </x:c>
      <x:c r="D16" s="109" t="n">
        <x:v>600</x:v>
      </x:c>
      <x:c r="E16" s="112" t="n">
        <x:f>C16-D16</x:f>
        <x:v>0</x:v>
      </x:c>
      <x:c r="G16" t="str">
        <x:v>Objetivo deseos</x:v>
      </x:c>
      <x:c r="H16" s="115" t="n">
        <x:v>0.3</x:v>
      </x:c>
    </x:row>
    <x:row r="17">
      <x:c r="A17" t="str">
        <x:v>Educación</x:v>
      </x:c>
      <x:c r="B17" s="100" t="str">
        <x:v>Necesidad</x:v>
      </x:c>
      <x:c r="C17" s="108" t="n">
        <x:v>1000</x:v>
      </x:c>
      <x:c r="D17" s="109" t="n">
        <x:v>1000</x:v>
      </x:c>
      <x:c r="E17" s="112" t="n">
        <x:f>C17-D17</x:f>
        <x:v>0</x:v>
      </x:c>
      <x:c r="G17" t="str">
        <x:v>Objetivo metas</x:v>
      </x:c>
      <x:c r="H17" s="115" t="n">
        <x:v>0.2</x:v>
      </x:c>
    </x:row>
    <x:row r="18">
      <x:c r="A18" t="str">
        <x:v>Pagos de deuda</x:v>
      </x:c>
      <x:c r="B18" s="100" t="str">
        <x:v>Deuda</x:v>
      </x:c>
      <x:c r="C18" s="108" t="n">
        <x:v>1500</x:v>
      </x:c>
      <x:c r="D18" s="109" t="n">
        <x:v>1500</x:v>
      </x:c>
      <x:c r="E18" s="112" t="n">
        <x:f>C18-D18</x:f>
        <x:v>0</x:v>
      </x:c>
    </x:row>
    <x:row r="19">
      <x:c r="A19" t="str">
        <x:v>Ahorro</x:v>
      </x:c>
      <x:c r="B19" s="100" t="str">
        <x:v>Ahorro</x:v>
      </x:c>
      <x:c r="C19" s="108" t="n">
        <x:v>800</x:v>
      </x:c>
      <x:c r="D19" s="109" t="n">
        <x:v>800</x:v>
      </x:c>
      <x:c r="E19" s="112" t="n">
        <x:f>C19-D19</x:f>
        <x:v>0</x:v>
      </x:c>
    </x:row>
    <x:row r="20">
      <x:c r="A20" t="str">
        <x:v>Suscripciones</x:v>
      </x:c>
      <x:c r="B20" s="100" t="str">
        <x:v>Deseo</x:v>
      </x:c>
      <x:c r="C20" s="108" t="n">
        <x:v>300</x:v>
      </x:c>
      <x:c r="D20" s="109" t="n">
        <x:v>300</x:v>
      </x:c>
      <x:c r="E20" s="112" t="n">
        <x:f>C20-D20</x:f>
        <x:v>0</x:v>
      </x:c>
    </x:row>
    <x:row r="21">
      <x:c r="A21" t="str">
        <x:v>Entretenimiento</x:v>
      </x:c>
      <x:c r="B21" s="100" t="str">
        <x:v>Deseo</x:v>
      </x:c>
      <x:c r="C21" s="108" t="n">
        <x:v>700</x:v>
      </x:c>
      <x:c r="D21" s="109" t="n">
        <x:v>700</x:v>
      </x:c>
      <x:c r="E21" s="112" t="n">
        <x:f>C21-D21</x:f>
        <x:v>0</x:v>
      </x:c>
    </x:row>
    <x:row r="22">
      <x:c r="A22" t="str">
        <x:v>Otros</x:v>
      </x:c>
      <x:c r="B22" s="102" t="str">
        <x:v>Deseo</x:v>
      </x:c>
      <x:c r="C22" s="110" t="n">
        <x:v>500</x:v>
      </x:c>
      <x:c r="D22" s="111" t="n">
        <x:v>500</x:v>
      </x:c>
      <x:c r="E22" s="112" t="n">
        <x:f>C22-D22</x:f>
        <x:v>0</x:v>
      </x:c>
    </x:row>
    <x:row r="23">
      <x:c r="A23" s="94" t="str">
        <x:v>TOTAL</x:v>
      </x:c>
      <x:c r="B23" s="94"/>
      <x:c r="C23" s="94" t="n">
        <x:f>SUM(C12:C22)</x:f>
        <x:v>14000</x:v>
      </x:c>
      <x:c r="D23" s="94" t="n">
        <x:f>SUM(D12:D22)</x:f>
        <x:v>14000</x:v>
      </x:c>
      <x:c r="E23" s="94" t="n">
        <x:f>C23-D23</x:f>
        <x:v>0</x:v>
      </x:c>
    </x:row>
  </x:sheetData>
  <x:mergeCells>
    <x:mergeCell ref="A1:H2"/>
    <x:mergeCell ref="A3:H3"/>
    <x:mergeCell ref="A4:D4"/>
    <x:mergeCell ref="A10:E10"/>
    <x:mergeCell ref="G4:H4"/>
  </x:mergeCells>
  <x:conditionalFormatting sqref="E12:E22">
    <x:cfRule type="cellIs" dxfId="4" priority="1" operator="lessThan">
      <x:formula>0</x:formula>
    </x:cfRule>
    <x:cfRule type="cellIs" dxfId="5" priority="2" operator="greaterThanOrEqual">
      <x:formula>0</x:formula>
    </x:cfRule>
  </x:conditionalFormatting>
  <x:conditionalFormatting sqref="H10:H10">
    <x:cfRule type="cellIs" dxfId="6" priority="3" operator="lessThan">
      <x:formula>0</x:formula>
    </x:cfRule>
    <x:cfRule type="cellIs" dxfId="7" priority="4" operator="greaterThanOrEqual">
      <x:formula>0</x:formula>
    </x:cfRule>
  </x:conditionalFormatting>
  <x:dataValidations count="1">
    <x:dataValidation type="list" sqref="B12:B22">
      <x:formula1>"Necesidad,Deseo,Deuda,Ahorro"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1" hidden="0" customWidth="1"/>
    <x:col min="11" max="11" width="3" hidden="0" customWidth="1"/>
    <x:col min="12" max="12" width="20" hidden="0" customWidth="1"/>
    <x:col min="13" max="13" width="15" hidden="0" customWidth="1"/>
  </x:cols>
  <x:sheetData>
    <x:row r="1" ht="34" customHeight="1">
      <x:c r="A1" s="9" t="str">
        <x:v>PLAN DE DEUDAS</x:v>
      </x:c>
      <x:c r="B1" s="10" t="str">
        <x:v>PLAN DE DEUDAS</x:v>
      </x:c>
      <x:c r="C1" s="10" t="str">
        <x:v>PLAN DE DEUDAS</x:v>
      </x:c>
      <x:c r="D1" s="10" t="str">
        <x:v>PLAN DE DEUDAS</x:v>
      </x:c>
      <x:c r="E1" s="10" t="str">
        <x:v>PLAN DE DEUDAS</x:v>
      </x:c>
      <x:c r="F1" s="10" t="str">
        <x:v>PLAN DE DEUDAS</x:v>
      </x:c>
      <x:c r="G1" s="10" t="str">
        <x:v>PLAN DE DEUDAS</x:v>
      </x:c>
      <x:c r="H1" s="10" t="str">
        <x:v>PLAN DE DEUDAS</x:v>
      </x:c>
      <x:c r="I1" s="10" t="str">
        <x:v>PLAN DE DEUDAS</x:v>
      </x:c>
      <x:c r="J1" s="10" t="str">
        <x:v>PLAN DE DEUDAS</x:v>
      </x:c>
      <x:c r="K1" s="10" t="str">
        <x:v>PLAN DE DEUDAS</x:v>
      </x:c>
      <x:c r="L1" s="10" t="str">
        <x:v>PLAN DE DEUDAS</x:v>
      </x:c>
      <x:c r="M1" s="11" t="str">
        <x:v>PLAN DE DEUDAS</x:v>
      </x:c>
    </x:row>
    <x:row r="2" ht="34" customHeight="1">
      <x:c r="A2" s="12" t="str">
        <x:v>PLAN DE DEUDAS</x:v>
      </x:c>
      <x:c r="B2" s="13" t="str">
        <x:v>PLAN DE DEUDAS</x:v>
      </x:c>
      <x:c r="C2" s="13" t="str">
        <x:v>PLAN DE DEUDAS</x:v>
      </x:c>
      <x:c r="D2" s="13" t="str">
        <x:v>PLAN DE DEUDAS</x:v>
      </x:c>
      <x:c r="E2" s="13" t="str">
        <x:v>PLAN DE DEUDAS</x:v>
      </x:c>
      <x:c r="F2" s="13" t="str">
        <x:v>PLAN DE DEUDAS</x:v>
      </x:c>
      <x:c r="G2" s="13" t="str">
        <x:v>PLAN DE DEUDAS</x:v>
      </x:c>
      <x:c r="H2" s="13" t="str">
        <x:v>PLAN DE DEUDAS</x:v>
      </x:c>
      <x:c r="I2" s="13" t="str">
        <x:v>PLAN DE DEUDAS</x:v>
      </x:c>
      <x:c r="J2" s="13" t="str">
        <x:v>PLAN DE DEUDAS</x:v>
      </x:c>
      <x:c r="K2" s="13" t="str">
        <x:v>PLAN DE DEUDAS</x:v>
      </x:c>
      <x:c r="L2" s="13" t="str">
        <x:v>PLAN DE DEUDAS</x:v>
      </x:c>
      <x:c r="M2" s="14" t="str">
        <x:v>PLAN DE DEUDAS</x:v>
      </x:c>
    </x:row>
    <x:row r="3" ht="30" customHeight="1">
      <x:c r="A3" s="20" t="str">
        <x:v>Ordena por prioridad: 1 es la primera deuda a atacar</x:v>
      </x:c>
      <x:c r="B3" s="21" t="str">
        <x:v>Ordena por prioridad: 1 es la primera deuda a atacar</x:v>
      </x:c>
      <x:c r="C3" s="21" t="str">
        <x:v>Ordena por prioridad: 1 es la primera deuda a atacar</x:v>
      </x:c>
      <x:c r="D3" s="21" t="str">
        <x:v>Ordena por prioridad: 1 es la primera deuda a atacar</x:v>
      </x:c>
      <x:c r="E3" s="21" t="str">
        <x:v>Ordena por prioridad: 1 es la primera deuda a atacar</x:v>
      </x:c>
      <x:c r="F3" s="21" t="str">
        <x:v>Ordena por prioridad: 1 es la primera deuda a atacar</x:v>
      </x:c>
      <x:c r="G3" s="21" t="str">
        <x:v>Ordena por prioridad: 1 es la primera deuda a atacar</x:v>
      </x:c>
      <x:c r="H3" s="21" t="str">
        <x:v>Ordena por prioridad: 1 es la primera deuda a atacar</x:v>
      </x:c>
      <x:c r="I3" s="21" t="str">
        <x:v>Ordena por prioridad: 1 es la primera deuda a atacar</x:v>
      </x:c>
      <x:c r="J3" s="21" t="str">
        <x:v>Ordena por prioridad: 1 es la primera deuda a atacar</x:v>
      </x:c>
      <x:c r="K3" s="21" t="str">
        <x:v>Ordena por prioridad: 1 es la primera deuda a atacar</x:v>
      </x:c>
      <x:c r="L3" s="21" t="str">
        <x:v>Ordena por prioridad: 1 es la primera deuda a atacar</x:v>
      </x:c>
      <x:c r="M3" s="22" t="str">
        <x:v>Ordena por prioridad: 1 es la primera deuda a atacar</x:v>
      </x:c>
    </x:row>
    <x:row r="4" ht="24" customHeight="1">
      <x:c r="A4" t="str">
        <x:v>Estrategia</x:v>
      </x:c>
      <x:c r="B4" s="116" t="str">
        <x:v>Bola de nieve</x:v>
      </x:c>
      <x:c r="L4" s="24" t="str">
        <x:v>RESUMEN</x:v>
      </x:c>
      <x:c r="M4" s="24" t="str">
        <x:v>RESUMEN</x:v>
      </x:c>
    </x:row>
    <x:row r="5">
      <x:c r="L5" s="62" t="str">
        <x:v>Deuda total</x:v>
      </x:c>
      <x:c r="M5" s="125" t="n">
        <x:f>SUM(B7:B16)</x:f>
        <x:v>28000</x:v>
      </x:c>
    </x:row>
    <x:row r="6" ht="28" customHeight="1">
      <x:c r="A6" s="58" t="str">
        <x:v>Deuda</x:v>
      </x:c>
      <x:c r="B6" s="96" t="str">
        <x:v>Saldo</x:v>
      </x:c>
      <x:c r="C6" s="96" t="str">
        <x:v>Tasa anual</x:v>
      </x:c>
      <x:c r="D6" s="96" t="str">
        <x:v>Pago mínimo</x:v>
      </x:c>
      <x:c r="E6" s="96" t="str">
        <x:v>Pago extra</x:v>
      </x:c>
      <x:c r="F6" s="96" t="str">
        <x:v>Pago total</x:v>
      </x:c>
      <x:c r="G6" s="96" t="str">
        <x:v>Interés mes</x:v>
      </x:c>
      <x:c r="H6" s="96" t="str">
        <x:v>A capital</x:v>
      </x:c>
      <x:c r="I6" s="96" t="str">
        <x:v>Meses aprox.</x:v>
      </x:c>
      <x:c r="J6" s="59" t="str">
        <x:v>Prioridad</x:v>
      </x:c>
      <x:c r="L6" s="64" t="str">
        <x:v>Pagos mínimos</x:v>
      </x:c>
      <x:c r="M6" s="126" t="n">
        <x:f>SUM(D7:D16)</x:f>
        <x:v>2000</x:v>
      </x:c>
    </x:row>
    <x:row r="7">
      <x:c r="A7" s="97" t="str">
        <x:v>Tarjeta A</x:v>
      </x:c>
      <x:c r="B7" s="105" t="n">
        <x:v>8000</x:v>
      </x:c>
      <x:c r="C7" s="120" t="n">
        <x:v>0.6</x:v>
      </x:c>
      <x:c r="D7" s="105" t="n">
        <x:v>600</x:v>
      </x:c>
      <x:c r="E7" s="106" t="n">
        <x:v>400</x:v>
      </x:c>
      <x:c r="F7" s="112" t="n">
        <x:f>IF(B7=0,"",D7+E7)</x:f>
        <x:v>1000</x:v>
      </x:c>
      <x:c r="G7" s="112" t="n">
        <x:f>IF(B7=0,"",B7*C7/12)</x:f>
        <x:v>400</x:v>
      </x:c>
      <x:c r="H7" s="112" t="n">
        <x:f>IF(B7=0,"",MAX(0,F7-G7))</x:f>
        <x:v>600</x:v>
      </x:c>
      <x:c r="I7" s="124" t="n">
        <x:f>IF(B7=0,"",IF(H7&lt;=0,"REVISAR",ROUNDUP(B7/H7,0)))</x:f>
        <x:v>14</x:v>
      </x:c>
      <x:c r="J7" s="117" t="n">
        <x:v>2</x:v>
      </x:c>
      <x:c r="L7" s="64" t="str">
        <x:v>Pago extra</x:v>
      </x:c>
      <x:c r="M7" s="126" t="n">
        <x:f>SUM(E7:E16)</x:f>
        <x:v>1200</x:v>
      </x:c>
    </x:row>
    <x:row r="8">
      <x:c r="A8" s="100" t="str">
        <x:v>Préstamo B</x:v>
      </x:c>
      <x:c r="B8" s="108" t="n">
        <x:v>15000</x:v>
      </x:c>
      <x:c r="C8" s="121" t="n">
        <x:v>0.35</x:v>
      </x:c>
      <x:c r="D8" s="108" t="n">
        <x:v>900</x:v>
      </x:c>
      <x:c r="E8" s="109" t="n">
        <x:v>300</x:v>
      </x:c>
      <x:c r="F8" s="112" t="n">
        <x:f>IF(B8=0,"",D8+E8)</x:f>
        <x:v>1200</x:v>
      </x:c>
      <x:c r="G8" s="112" t="n">
        <x:f>IF(B8=0,"",B8*C8/12)</x:f>
        <x:v>437.5</x:v>
      </x:c>
      <x:c r="H8" s="112" t="n">
        <x:f>IF(B8=0,"",MAX(0,F8-G8))</x:f>
        <x:v>762.5</x:v>
      </x:c>
      <x:c r="I8" s="124" t="n">
        <x:f>IF(B8=0,"",IF(H8&lt;=0,"REVISAR",ROUNDUP(B8/H8,0)))</x:f>
        <x:v>20</x:v>
      </x:c>
      <x:c r="J8" s="118" t="n">
        <x:v>3</x:v>
      </x:c>
      <x:c r="L8" s="64" t="str">
        <x:v>Pago mensual</x:v>
      </x:c>
      <x:c r="M8" s="126" t="n">
        <x:f>SUM(F7:F16)</x:f>
        <x:v>3200</x:v>
      </x:c>
    </x:row>
    <x:row r="9">
      <x:c r="A9" s="100" t="str">
        <x:v>Tienda C</x:v>
      </x:c>
      <x:c r="B9" s="108" t="n">
        <x:v>5000</x:v>
      </x:c>
      <x:c r="C9" s="121" t="n">
        <x:v>0.5</x:v>
      </x:c>
      <x:c r="D9" s="108" t="n">
        <x:v>500</x:v>
      </x:c>
      <x:c r="E9" s="109" t="n">
        <x:v>500</x:v>
      </x:c>
      <x:c r="F9" s="112" t="n">
        <x:f>IF(B9=0,"",D9+E9)</x:f>
        <x:v>1000</x:v>
      </x:c>
      <x:c r="G9" s="112" t="n">
        <x:f>IF(B9=0,"",B9*C9/12)</x:f>
        <x:v>208.33333333333334</x:v>
      </x:c>
      <x:c r="H9" s="112" t="n">
        <x:f>IF(B9=0,"",MAX(0,F9-G9))</x:f>
        <x:v>791.6666666666666</x:v>
      </x:c>
      <x:c r="I9" s="124" t="n">
        <x:f>IF(B9=0,"",IF(H9&lt;=0,"REVISAR",ROUNDUP(B9/H9,0)))</x:f>
        <x:v>7</x:v>
      </x:c>
      <x:c r="J9" s="118" t="n">
        <x:v>1</x:v>
      </x:c>
      <x:c r="L9" s="64" t="str">
        <x:v>Interés estimado</x:v>
      </x:c>
      <x:c r="M9" s="126" t="n">
        <x:f>SUM(G7:G16)</x:f>
        <x:v>1045.8333333333333</x:v>
      </x:c>
    </x:row>
    <x:row r="10">
      <x:c r="A10" s="100" t="str"/>
      <x:c r="B10" s="108" t="n">
        <x:v>0</x:v>
      </x:c>
      <x:c r="C10" s="121" t="n">
        <x:v>0</x:v>
      </x:c>
      <x:c r="D10" s="108" t="n">
        <x:v>0</x:v>
      </x:c>
      <x:c r="E10" s="109" t="n">
        <x:v>0</x:v>
      </x:c>
      <x:c r="F10" s="112" t="str">
        <x:f>IF(B10=0,"",D10+E10)</x:f>
      </x:c>
      <x:c r="G10" s="112" t="str">
        <x:f>IF(B10=0,"",B10*C10/12)</x:f>
      </x:c>
      <x:c r="H10" s="112" t="str">
        <x:f>IF(B10=0,"",MAX(0,F10-G10))</x:f>
      </x:c>
      <x:c r="I10" s="124" t="str">
        <x:f>IF(B10=0,"",IF(H10&lt;=0,"REVISAR",ROUNDUP(B10/H10,0)))</x:f>
      </x:c>
      <x:c r="J10" s="118"/>
    </x:row>
    <x:row r="11" ht="30" customHeight="1">
      <x:c r="A11" s="100" t="str"/>
      <x:c r="B11" s="108" t="n">
        <x:v>0</x:v>
      </x:c>
      <x:c r="C11" s="121" t="n">
        <x:v>0</x:v>
      </x:c>
      <x:c r="D11" s="108" t="n">
        <x:v>0</x:v>
      </x:c>
      <x:c r="E11" s="109" t="n">
        <x:v>0</x:v>
      </x:c>
      <x:c r="F11" s="112" t="str">
        <x:f>IF(B11=0,"",D11+E11)</x:f>
      </x:c>
      <x:c r="G11" s="112" t="str">
        <x:f>IF(B11=0,"",B11*C11/12)</x:f>
      </x:c>
      <x:c r="H11" s="112" t="str">
        <x:f>IF(B11=0,"",MAX(0,F11-G11))</x:f>
      </x:c>
      <x:c r="I11" s="124" t="str">
        <x:f>IF(B11=0,"",IF(H11&lt;=0,"REVISAR",ROUNDUP(B11/H11,0)))</x:f>
      </x:c>
      <x:c r="J11" s="118"/>
      <x:c r="L11" s="74" t="str">
        <x:v>Bola de nieve: prioriza el saldo menor. Avalancha: prioriza la tasa más alta. Mantén los mínimos en todas.</x:v>
      </x:c>
      <x:c r="M11" s="76" t="str">
        <x:v>Bola de nieve: prioriza el saldo menor. Avalancha: prioriza la tasa más alta. Mantén los mínimos en todas.</x:v>
      </x:c>
    </x:row>
    <x:row r="12" ht="30" customHeight="1">
      <x:c r="A12" s="100" t="str"/>
      <x:c r="B12" s="108" t="n">
        <x:v>0</x:v>
      </x:c>
      <x:c r="C12" s="121" t="n">
        <x:v>0</x:v>
      </x:c>
      <x:c r="D12" s="108" t="n">
        <x:v>0</x:v>
      </x:c>
      <x:c r="E12" s="109" t="n">
        <x:v>0</x:v>
      </x:c>
      <x:c r="F12" s="112" t="str">
        <x:f>IF(B12=0,"",D12+E12)</x:f>
      </x:c>
      <x:c r="G12" s="112" t="str">
        <x:f>IF(B12=0,"",B12*C12/12)</x:f>
      </x:c>
      <x:c r="H12" s="112" t="str">
        <x:f>IF(B12=0,"",MAX(0,F12-G12))</x:f>
      </x:c>
      <x:c r="I12" s="124" t="str">
        <x:f>IF(B12=0,"",IF(H12&lt;=0,"REVISAR",ROUNDUP(B12/H12,0)))</x:f>
      </x:c>
      <x:c r="J12" s="118"/>
      <x:c r="L12" s="77" t="str">
        <x:v>Bola de nieve: prioriza el saldo menor. Avalancha: prioriza la tasa más alta. Mantén los mínimos en todas.</x:v>
      </x:c>
      <x:c r="M12" s="79" t="str">
        <x:v>Bola de nieve: prioriza el saldo menor. Avalancha: prioriza la tasa más alta. Mantén los mínimos en todas.</x:v>
      </x:c>
    </x:row>
    <x:row r="13" ht="30" customHeight="1">
      <x:c r="A13" s="100" t="str"/>
      <x:c r="B13" s="108" t="n">
        <x:v>0</x:v>
      </x:c>
      <x:c r="C13" s="121" t="n">
        <x:v>0</x:v>
      </x:c>
      <x:c r="D13" s="108" t="n">
        <x:v>0</x:v>
      </x:c>
      <x:c r="E13" s="109" t="n">
        <x:v>0</x:v>
      </x:c>
      <x:c r="F13" s="112" t="str">
        <x:f>IF(B13=0,"",D13+E13)</x:f>
      </x:c>
      <x:c r="G13" s="112" t="str">
        <x:f>IF(B13=0,"",B13*C13/12)</x:f>
      </x:c>
      <x:c r="H13" s="112" t="str">
        <x:f>IF(B13=0,"",MAX(0,F13-G13))</x:f>
      </x:c>
      <x:c r="I13" s="124" t="str">
        <x:f>IF(B13=0,"",IF(H13&lt;=0,"REVISAR",ROUNDUP(B13/H13,0)))</x:f>
      </x:c>
      <x:c r="J13" s="118"/>
      <x:c r="L13" s="77" t="str">
        <x:v>Bola de nieve: prioriza el saldo menor. Avalancha: prioriza la tasa más alta. Mantén los mínimos en todas.</x:v>
      </x:c>
      <x:c r="M13" s="79" t="str">
        <x:v>Bola de nieve: prioriza el saldo menor. Avalancha: prioriza la tasa más alta. Mantén los mínimos en todas.</x:v>
      </x:c>
    </x:row>
    <x:row r="14" ht="30" customHeight="1">
      <x:c r="A14" s="100" t="str"/>
      <x:c r="B14" s="108" t="n">
        <x:v>0</x:v>
      </x:c>
      <x:c r="C14" s="121" t="n">
        <x:v>0</x:v>
      </x:c>
      <x:c r="D14" s="108" t="n">
        <x:v>0</x:v>
      </x:c>
      <x:c r="E14" s="109" t="n">
        <x:v>0</x:v>
      </x:c>
      <x:c r="F14" s="112" t="str">
        <x:f>IF(B14=0,"",D14+E14)</x:f>
      </x:c>
      <x:c r="G14" s="112" t="str">
        <x:f>IF(B14=0,"",B14*C14/12)</x:f>
      </x:c>
      <x:c r="H14" s="112" t="str">
        <x:f>IF(B14=0,"",MAX(0,F14-G14))</x:f>
      </x:c>
      <x:c r="I14" s="124" t="str">
        <x:f>IF(B14=0,"",IF(H14&lt;=0,"REVISAR",ROUNDUP(B14/H14,0)))</x:f>
      </x:c>
      <x:c r="J14" s="118"/>
      <x:c r="L14" s="77" t="str">
        <x:v>Bola de nieve: prioriza el saldo menor. Avalancha: prioriza la tasa más alta. Mantén los mínimos en todas.</x:v>
      </x:c>
      <x:c r="M14" s="79" t="str">
        <x:v>Bola de nieve: prioriza el saldo menor. Avalancha: prioriza la tasa más alta. Mantén los mínimos en todas.</x:v>
      </x:c>
    </x:row>
    <x:row r="15" ht="30" customHeight="1">
      <x:c r="A15" s="100" t="str"/>
      <x:c r="B15" s="108" t="n">
        <x:v>0</x:v>
      </x:c>
      <x:c r="C15" s="121" t="n">
        <x:v>0</x:v>
      </x:c>
      <x:c r="D15" s="108" t="n">
        <x:v>0</x:v>
      </x:c>
      <x:c r="E15" s="109" t="n">
        <x:v>0</x:v>
      </x:c>
      <x:c r="F15" s="112" t="str">
        <x:f>IF(B15=0,"",D15+E15)</x:f>
      </x:c>
      <x:c r="G15" s="112" t="str">
        <x:f>IF(B15=0,"",B15*C15/12)</x:f>
      </x:c>
      <x:c r="H15" s="112" t="str">
        <x:f>IF(B15=0,"",MAX(0,F15-G15))</x:f>
      </x:c>
      <x:c r="I15" s="124" t="str">
        <x:f>IF(B15=0,"",IF(H15&lt;=0,"REVISAR",ROUNDUP(B15/H15,0)))</x:f>
      </x:c>
      <x:c r="J15" s="118"/>
      <x:c r="L15" s="80" t="str">
        <x:v>Bola de nieve: prioriza el saldo menor. Avalancha: prioriza la tasa más alta. Mantén los mínimos en todas.</x:v>
      </x:c>
      <x:c r="M15" s="82" t="str">
        <x:v>Bola de nieve: prioriza el saldo menor. Avalancha: prioriza la tasa más alta. Mantén los mínimos en todas.</x:v>
      </x:c>
    </x:row>
    <x:row r="16">
      <x:c r="A16" s="102" t="str"/>
      <x:c r="B16" s="110" t="n">
        <x:v>0</x:v>
      </x:c>
      <x:c r="C16" s="122" t="n">
        <x:v>0</x:v>
      </x:c>
      <x:c r="D16" s="110" t="n">
        <x:v>0</x:v>
      </x:c>
      <x:c r="E16" s="111" t="n">
        <x:v>0</x:v>
      </x:c>
      <x:c r="F16" s="112" t="str">
        <x:f>IF(B16=0,"",D16+E16)</x:f>
      </x:c>
      <x:c r="G16" s="112" t="str">
        <x:f>IF(B16=0,"",B16*C16/12)</x:f>
      </x:c>
      <x:c r="H16" s="112" t="str">
        <x:f>IF(B16=0,"",MAX(0,F16-G16))</x:f>
      </x:c>
      <x:c r="I16" s="124" t="str">
        <x:f>IF(B16=0,"",IF(H16&lt;=0,"REVISAR",ROUNDUP(B16/H16,0)))</x:f>
      </x:c>
      <x:c r="J16" s="119"/>
    </x:row>
  </x:sheetData>
  <x:mergeCells>
    <x:mergeCell ref="A1:M2"/>
    <x:mergeCell ref="A3:M3"/>
    <x:mergeCell ref="L4:M4"/>
    <x:mergeCell ref="L11:M15"/>
  </x:mergeCells>
  <x:conditionalFormatting sqref="I7:I16">
    <x:cfRule type="containsText" dxfId="8" priority="1" operator="containsText" text="REVISAR"/>
  </x:conditionalFormatting>
  <x:dataValidations count="2">
    <x:dataValidation type="list" sqref="B4">
      <x:formula1>"Bola de nieve,Avalancha"</x:formula1>
    </x:dataValidation>
    <x:dataValidation type="whole" operator="between" sqref="J7:J16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3" hidden="0" customWidth="1"/>
    <x:col min="5" max="5" width="14" hidden="0" customWidth="1"/>
    <x:col min="6" max="6" width="14" hidden="0" customWidth="1"/>
  </x:cols>
  <x:sheetData>
    <x:row r="1" ht="34" customHeight="1">
      <x:c r="A1" s="9" t="str">
        <x:v>FONDO DE EMERGENCIA</x:v>
      </x:c>
      <x:c r="B1" s="10" t="str">
        <x:v>FONDO DE EMERGENCIA</x:v>
      </x:c>
      <x:c r="C1" s="10" t="str">
        <x:v>FONDO DE EMERGENCIA</x:v>
      </x:c>
      <x:c r="D1" s="10" t="str">
        <x:v>FONDO DE EMERGENCIA</x:v>
      </x:c>
      <x:c r="E1" s="10" t="str">
        <x:v>FONDO DE EMERGENCIA</x:v>
      </x:c>
      <x:c r="F1" s="11" t="str">
        <x:v>FONDO DE EMERGENCIA</x:v>
      </x:c>
    </x:row>
    <x:row r="2" ht="34" customHeight="1">
      <x:c r="A2" s="12" t="str">
        <x:v>FONDO DE EMERGENCIA</x:v>
      </x:c>
      <x:c r="B2" s="13" t="str">
        <x:v>FONDO DE EMERGENCIA</x:v>
      </x:c>
      <x:c r="C2" s="13" t="str">
        <x:v>FONDO DE EMERGENCIA</x:v>
      </x:c>
      <x:c r="D2" s="13" t="str">
        <x:v>FONDO DE EMERGENCIA</x:v>
      </x:c>
      <x:c r="E2" s="13" t="str">
        <x:v>FONDO DE EMERGENCIA</x:v>
      </x:c>
      <x:c r="F2" s="14" t="str">
        <x:v>FONDO DE EMERGENCIA</x:v>
      </x:c>
    </x:row>
    <x:row r="3" ht="30" customHeight="1">
      <x:c r="A3" s="20" t="str">
        <x:v>Construye primero un colchón inicial y luego avanza hacia 3 meses de supervivencia</x:v>
      </x:c>
      <x:c r="B3" s="21" t="str">
        <x:v>Construye primero un colchón inicial y luego avanza hacia 3 meses de supervivencia</x:v>
      </x:c>
      <x:c r="C3" s="21" t="str">
        <x:v>Construye primero un colchón inicial y luego avanza hacia 3 meses de supervivencia</x:v>
      </x:c>
      <x:c r="D3" s="21" t="str">
        <x:v>Construye primero un colchón inicial y luego avanza hacia 3 meses de supervivencia</x:v>
      </x:c>
      <x:c r="E3" s="21" t="str">
        <x:v>Construye primero un colchón inicial y luego avanza hacia 3 meses de supervivencia</x:v>
      </x:c>
      <x:c r="F3" s="22" t="str">
        <x:v>Construye primero un colchón inicial y luego avanza hacia 3 meses de supervivencia</x:v>
      </x:c>
    </x:row>
    <x:row r="5">
      <x:c r="A5" t="str">
        <x:v>Número de supervivencia mensual</x:v>
      </x:c>
      <x:c r="B5" s="88" t="n">
        <x:v>8500</x:v>
      </x:c>
    </x:row>
    <x:row r="6">
      <x:c r="A6" t="str">
        <x:v>Fondo actual</x:v>
      </x:c>
      <x:c r="B6" s="89" t="n">
        <x:v>1000</x:v>
      </x:c>
    </x:row>
    <x:row r="7">
      <x:c r="A7" t="str">
        <x:v>Meses objetivo</x:v>
      </x:c>
      <x:c r="B7" s="86" t="n">
        <x:v>3</x:v>
      </x:c>
    </x:row>
    <x:row r="8">
      <x:c r="A8" t="str">
        <x:v>Aportación mensual</x:v>
      </x:c>
      <x:c r="B8" s="90" t="n">
        <x:v>1000</x:v>
      </x:c>
    </x:row>
    <x:row r="9">
      <x:c r="A9" s="93" t="str">
        <x:v>Meta total</x:v>
      </x:c>
      <x:c r="B9" s="94" t="n">
        <x:f>B5*B7</x:f>
        <x:v>25500</x:v>
      </x:c>
    </x:row>
    <x:row r="10">
      <x:c r="A10" s="92" t="str">
        <x:v>Faltante</x:v>
      </x:c>
      <x:c r="B10" s="130" t="n">
        <x:f>MAX(0,B9-B6)</x:f>
        <x:v>24500</x:v>
      </x:c>
    </x:row>
    <x:row r="11">
      <x:c r="A11" s="92" t="str">
        <x:v>Meses para llegar</x:v>
      </x:c>
      <x:c r="B11" s="131" t="n">
        <x:f>IF(B8&lt;=0,"SIN APORTACIÓN",ROUNDUP(B10/B8,0))</x:f>
        <x:v>25</x:v>
      </x:c>
    </x:row>
    <x:row r="12">
      <x:c r="A12" s="92" t="str">
        <x:v>Progreso</x:v>
      </x:c>
      <x:c r="B12" s="132" t="n">
        <x:f>IF(B9=0,0,B6/B9)</x:f>
        <x:v>0.0392156862745098</x:v>
      </x:c>
    </x:row>
    <x:row r="15" ht="24" customHeight="1">
      <x:c r="A15" s="24" t="str">
        <x:v>PROYECCIÓN DE 12 MESES</x:v>
      </x:c>
      <x:c r="B15" s="24" t="str">
        <x:v>PROYECCIÓN DE 12 MESES</x:v>
      </x:c>
      <x:c r="C15" s="24" t="str">
        <x:v>PROYECCIÓN DE 12 MESES</x:v>
      </x:c>
    </x:row>
    <x:row r="16" ht="28" customHeight="1">
      <x:c r="A16" s="58" t="str">
        <x:v>Mes</x:v>
      </x:c>
      <x:c r="B16" s="96" t="str">
        <x:v>Aportación</x:v>
      </x:c>
      <x:c r="C16" s="59" t="str">
        <x:v>Saldo proyectado</x:v>
      </x:c>
      <x:c r="E16" s="58" t="str">
        <x:v>Mes</x:v>
      </x:c>
      <x:c r="F16" s="59" t="str">
        <x:v>Saldo</x:v>
      </x:c>
    </x:row>
    <x:row r="17">
      <x:c r="A17" t="n">
        <x:v>0</x:v>
      </x:c>
      <x:c r="B17" s="112" t="n">
        <x:v>0</x:v>
      </x:c>
      <x:c r="C17" s="112" t="n">
        <x:f>B6</x:f>
        <x:v>1000</x:v>
      </x:c>
      <x:c r="E17" t="n">
        <x:f>A17</x:f>
        <x:v>0</x:v>
      </x:c>
      <x:c r="F17" s="107" t="n">
        <x:f>C17</x:f>
        <x:v>1000</x:v>
      </x:c>
    </x:row>
    <x:row r="18">
      <x:c r="A18" t="n">
        <x:v>1</x:v>
      </x:c>
      <x:c r="B18" s="112" t="n">
        <x:f>IF(C17&lt;$B$9,$B$8,0)</x:f>
        <x:v>1000</x:v>
      </x:c>
      <x:c r="C18" s="112" t="n">
        <x:f>MIN($B$9,C17+B18)</x:f>
        <x:v>2000</x:v>
      </x:c>
      <x:c r="E18" t="n">
        <x:f>A18</x:f>
        <x:v>1</x:v>
      </x:c>
      <x:c r="F18" s="107" t="n">
        <x:f>C18</x:f>
        <x:v>2000</x:v>
      </x:c>
    </x:row>
    <x:row r="19">
      <x:c r="A19" t="n">
        <x:v>2</x:v>
      </x:c>
      <x:c r="B19" s="112" t="n">
        <x:f>IF(C18&lt;$B$9,$B$8,0)</x:f>
        <x:v>1000</x:v>
      </x:c>
      <x:c r="C19" s="112" t="n">
        <x:f>MIN($B$9,C18+B19)</x:f>
        <x:v>3000</x:v>
      </x:c>
      <x:c r="E19" t="n">
        <x:f>A19</x:f>
        <x:v>2</x:v>
      </x:c>
      <x:c r="F19" s="107" t="n">
        <x:f>C19</x:f>
        <x:v>3000</x:v>
      </x:c>
    </x:row>
    <x:row r="20">
      <x:c r="A20" t="n">
        <x:v>3</x:v>
      </x:c>
      <x:c r="B20" s="112" t="n">
        <x:f>IF(C19&lt;$B$9,$B$8,0)</x:f>
        <x:v>1000</x:v>
      </x:c>
      <x:c r="C20" s="112" t="n">
        <x:f>MIN($B$9,C19+B20)</x:f>
        <x:v>4000</x:v>
      </x:c>
      <x:c r="E20" t="n">
        <x:f>A20</x:f>
        <x:v>3</x:v>
      </x:c>
      <x:c r="F20" s="107" t="n">
        <x:f>C20</x:f>
        <x:v>4000</x:v>
      </x:c>
    </x:row>
    <x:row r="21">
      <x:c r="A21" t="n">
        <x:v>4</x:v>
      </x:c>
      <x:c r="B21" s="112" t="n">
        <x:f>IF(C20&lt;$B$9,$B$8,0)</x:f>
        <x:v>1000</x:v>
      </x:c>
      <x:c r="C21" s="112" t="n">
        <x:f>MIN($B$9,C20+B21)</x:f>
        <x:v>5000</x:v>
      </x:c>
      <x:c r="E21" t="n">
        <x:f>A21</x:f>
        <x:v>4</x:v>
      </x:c>
      <x:c r="F21" s="107" t="n">
        <x:f>C21</x:f>
        <x:v>5000</x:v>
      </x:c>
    </x:row>
    <x:row r="22">
      <x:c r="A22" t="n">
        <x:v>5</x:v>
      </x:c>
      <x:c r="B22" s="112" t="n">
        <x:f>IF(C21&lt;$B$9,$B$8,0)</x:f>
        <x:v>1000</x:v>
      </x:c>
      <x:c r="C22" s="112" t="n">
        <x:f>MIN($B$9,C21+B22)</x:f>
        <x:v>6000</x:v>
      </x:c>
      <x:c r="E22" t="n">
        <x:f>A22</x:f>
        <x:v>5</x:v>
      </x:c>
      <x:c r="F22" s="107" t="n">
        <x:f>C22</x:f>
        <x:v>6000</x:v>
      </x:c>
    </x:row>
    <x:row r="23">
      <x:c r="A23" t="n">
        <x:v>6</x:v>
      </x:c>
      <x:c r="B23" s="112" t="n">
        <x:f>IF(C22&lt;$B$9,$B$8,0)</x:f>
        <x:v>1000</x:v>
      </x:c>
      <x:c r="C23" s="112" t="n">
        <x:f>MIN($B$9,C22+B23)</x:f>
        <x:v>7000</x:v>
      </x:c>
      <x:c r="E23" t="n">
        <x:f>A23</x:f>
        <x:v>6</x:v>
      </x:c>
      <x:c r="F23" s="107" t="n">
        <x:f>C23</x:f>
        <x:v>7000</x:v>
      </x:c>
    </x:row>
    <x:row r="24">
      <x:c r="A24" t="n">
        <x:v>7</x:v>
      </x:c>
      <x:c r="B24" s="112" t="n">
        <x:f>IF(C23&lt;$B$9,$B$8,0)</x:f>
        <x:v>1000</x:v>
      </x:c>
      <x:c r="C24" s="112" t="n">
        <x:f>MIN($B$9,C23+B24)</x:f>
        <x:v>8000</x:v>
      </x:c>
      <x:c r="E24" t="n">
        <x:f>A24</x:f>
        <x:v>7</x:v>
      </x:c>
      <x:c r="F24" s="107" t="n">
        <x:f>C24</x:f>
        <x:v>8000</x:v>
      </x:c>
    </x:row>
    <x:row r="25">
      <x:c r="A25" t="n">
        <x:v>8</x:v>
      </x:c>
      <x:c r="B25" s="112" t="n">
        <x:f>IF(C24&lt;$B$9,$B$8,0)</x:f>
        <x:v>1000</x:v>
      </x:c>
      <x:c r="C25" s="112" t="n">
        <x:f>MIN($B$9,C24+B25)</x:f>
        <x:v>9000</x:v>
      </x:c>
      <x:c r="E25" t="n">
        <x:f>A25</x:f>
        <x:v>8</x:v>
      </x:c>
      <x:c r="F25" s="107" t="n">
        <x:f>C25</x:f>
        <x:v>9000</x:v>
      </x:c>
    </x:row>
    <x:row r="26">
      <x:c r="A26" t="n">
        <x:v>9</x:v>
      </x:c>
      <x:c r="B26" s="112" t="n">
        <x:f>IF(C25&lt;$B$9,$B$8,0)</x:f>
        <x:v>1000</x:v>
      </x:c>
      <x:c r="C26" s="112" t="n">
        <x:f>MIN($B$9,C25+B26)</x:f>
        <x:v>10000</x:v>
      </x:c>
      <x:c r="E26" t="n">
        <x:f>A26</x:f>
        <x:v>9</x:v>
      </x:c>
      <x:c r="F26" s="107" t="n">
        <x:f>C26</x:f>
        <x:v>10000</x:v>
      </x:c>
    </x:row>
    <x:row r="27">
      <x:c r="A27" t="n">
        <x:v>10</x:v>
      </x:c>
      <x:c r="B27" s="112" t="n">
        <x:f>IF(C26&lt;$B$9,$B$8,0)</x:f>
        <x:v>1000</x:v>
      </x:c>
      <x:c r="C27" s="112" t="n">
        <x:f>MIN($B$9,C26+B27)</x:f>
        <x:v>11000</x:v>
      </x:c>
      <x:c r="E27" t="n">
        <x:f>A27</x:f>
        <x:v>10</x:v>
      </x:c>
      <x:c r="F27" s="107" t="n">
        <x:f>C27</x:f>
        <x:v>11000</x:v>
      </x:c>
    </x:row>
    <x:row r="28">
      <x:c r="A28" t="n">
        <x:v>11</x:v>
      </x:c>
      <x:c r="B28" s="112" t="n">
        <x:f>IF(C27&lt;$B$9,$B$8,0)</x:f>
        <x:v>1000</x:v>
      </x:c>
      <x:c r="C28" s="112" t="n">
        <x:f>MIN($B$9,C27+B28)</x:f>
        <x:v>12000</x:v>
      </x:c>
      <x:c r="E28" t="n">
        <x:f>A28</x:f>
        <x:v>11</x:v>
      </x:c>
      <x:c r="F28" s="107" t="n">
        <x:f>C28</x:f>
        <x:v>12000</x:v>
      </x:c>
    </x:row>
    <x:row r="29">
      <x:c r="A29" t="n">
        <x:v>12</x:v>
      </x:c>
      <x:c r="B29" s="112" t="n">
        <x:f>IF(C28&lt;$B$9,$B$8,0)</x:f>
        <x:v>1000</x:v>
      </x:c>
      <x:c r="C29" s="112" t="n">
        <x:f>MIN($B$9,C28+B29)</x:f>
        <x:v>13000</x:v>
      </x:c>
      <x:c r="E29" t="n">
        <x:f>A29</x:f>
        <x:v>12</x:v>
      </x:c>
      <x:c r="F29" s="107" t="n">
        <x:f>C29</x:f>
        <x:v>13000</x:v>
      </x:c>
    </x:row>
  </x:sheetData>
  <x:mergeCells>
    <x:mergeCell ref="A1:F2"/>
    <x:mergeCell ref="A3:F3"/>
    <x:mergeCell ref="A15:C15"/>
  </x:mergeCells>
  <x:conditionalFormatting sqref="B12:B12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dataValidations count="1">
    <x:dataValidation type="whole" operator="between" sqref="B7">
      <x:formula1>1</x:formula1>
      <x:formula2>6</x:formula2>
    </x:dataValidation>
  </x:dataValidations>
  <x:pageMargins left="0.7" right="0.7" top="0.75" bottom="0.75" header="0.3" footer="0.3"/>
  <x:drawing xmlns:r="http://schemas.openxmlformats.org/officeDocument/2006/relationships" r:id="R0b9d2b5617d242e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9" t="str">
        <x:v>GUÍA DE USO | AETHEL</x:v>
      </x:c>
      <x:c r="B1" s="10" t="str">
        <x:v>GUÍA DE USO | AETHEL</x:v>
      </x:c>
      <x:c r="C1" s="10" t="str">
        <x:v>GUÍA DE USO | AETHEL</x:v>
      </x:c>
      <x:c r="D1" s="10" t="str">
        <x:v>GUÍA DE USO | AETHEL</x:v>
      </x:c>
      <x:c r="E1" s="10" t="str">
        <x:v>GUÍA DE USO | AETHEL</x:v>
      </x:c>
      <x:c r="F1" s="10" t="str">
        <x:v>GUÍA DE USO | AETHEL</x:v>
      </x:c>
      <x:c r="G1" s="10" t="str">
        <x:v>GUÍA DE USO | AETHEL</x:v>
      </x:c>
      <x:c r="H1" s="11" t="str">
        <x:v>GUÍA DE USO | AETHEL</x:v>
      </x:c>
    </x:row>
    <x:row r="2" ht="34" customHeight="1">
      <x:c r="A2" s="12" t="str">
        <x:v>GUÍA DE USO | AETHEL</x:v>
      </x:c>
      <x:c r="B2" s="13" t="str">
        <x:v>GUÍA DE USO | AETHEL</x:v>
      </x:c>
      <x:c r="C2" s="13" t="str">
        <x:v>GUÍA DE USO | AETHEL</x:v>
      </x:c>
      <x:c r="D2" s="13" t="str">
        <x:v>GUÍA DE USO | AETHEL</x:v>
      </x:c>
      <x:c r="E2" s="13" t="str">
        <x:v>GUÍA DE USO | AETHEL</x:v>
      </x:c>
      <x:c r="F2" s="13" t="str">
        <x:v>GUÍA DE USO | AETHEL</x:v>
      </x:c>
      <x:c r="G2" s="13" t="str">
        <x:v>GUÍA DE USO | AETHEL</x:v>
      </x:c>
      <x:c r="H2" s="14" t="str">
        <x:v>GUÍA DE USO | AETHEL</x:v>
      </x:c>
    </x:row>
    <x:row r="3" ht="30" customHeight="1">
      <x:c r="A3" s="20" t="str">
        <x:v>Una recompensa digital útil, reutilizable y sin promesas de rendimiento</x:v>
      </x:c>
      <x:c r="B3" s="21" t="str">
        <x:v>Una recompensa digital útil, reutilizable y sin promesas de rendimiento</x:v>
      </x:c>
      <x:c r="C3" s="21" t="str">
        <x:v>Una recompensa digital útil, reutilizable y sin promesas de rendimiento</x:v>
      </x:c>
      <x:c r="D3" s="21" t="str">
        <x:v>Una recompensa digital útil, reutilizable y sin promesas de rendimiento</x:v>
      </x:c>
      <x:c r="E3" s="21" t="str">
        <x:v>Una recompensa digital útil, reutilizable y sin promesas de rendimiento</x:v>
      </x:c>
      <x:c r="F3" s="21" t="str">
        <x:v>Una recompensa digital útil, reutilizable y sin promesas de rendimiento</x:v>
      </x:c>
      <x:c r="G3" s="21" t="str">
        <x:v>Una recompensa digital útil, reutilizable y sin promesas de rendimiento</x:v>
      </x:c>
      <x:c r="H3" s="22" t="str">
        <x:v>Una recompensa digital útil, reutilizable y sin promesas de rendimiento</x:v>
      </x:c>
    </x:row>
    <x:row r="5" ht="24" customHeight="1">
      <x:c r="A5" s="24" t="str">
        <x:v>CÓMO USAR LA PLANTILLA</x:v>
      </x:c>
      <x:c r="B5" s="24" t="str">
        <x:v>CÓMO USAR LA PLANTILLA</x:v>
      </x:c>
      <x:c r="C5" s="24" t="str">
        <x:v>CÓMO USAR LA PLANTILLA</x:v>
      </x:c>
      <x:c r="D5" s="24" t="str">
        <x:v>CÓMO USAR LA PLANTILLA</x:v>
      </x:c>
      <x:c r="E5" s="24" t="str">
        <x:v>CÓMO USAR LA PLANTILLA</x:v>
      </x:c>
      <x:c r="F5" s="24" t="str">
        <x:v>CÓMO USAR LA PLANTILLA</x:v>
      </x:c>
      <x:c r="G5" s="24" t="str">
        <x:v>CÓMO USAR LA PLANTILLA</x:v>
      </x:c>
      <x:c r="H5" s="24" t="str">
        <x:v>CÓMO USAR LA PLANTILLA</x:v>
      </x:c>
    </x:row>
    <x:row r="6" ht="26" customHeight="1">
      <x:c r="A6" s="134" t="str">
        <x:v>1. Presupuesto: reemplaza ingresos y gastos en celdas azules.</x:v>
      </x:c>
      <x:c r="B6" s="134"/>
      <x:c r="C6" s="134"/>
      <x:c r="D6" s="134"/>
      <x:c r="E6" s="134"/>
      <x:c r="F6" s="134"/>
      <x:c r="G6" s="134"/>
      <x:c r="H6" s="134"/>
    </x:row>
    <x:row r="7" ht="26" customHeight="1">
      <x:c r="A7" s="135" t="str">
        <x:v>2. Deudas: registra saldo, tasa, pagos y prioridad.</x:v>
      </x:c>
      <x:c r="B7" s="135"/>
      <x:c r="C7" s="135"/>
      <x:c r="D7" s="135"/>
      <x:c r="E7" s="135"/>
      <x:c r="F7" s="135"/>
      <x:c r="G7" s="135"/>
      <x:c r="H7" s="135"/>
    </x:row>
    <x:row r="8" ht="26" customHeight="1">
      <x:c r="A8" s="135" t="str">
        <x:v>3. Emergencia: define tu número de supervivencia y aportación.</x:v>
      </x:c>
      <x:c r="B8" s="135"/>
      <x:c r="C8" s="135"/>
      <x:c r="D8" s="135"/>
      <x:c r="E8" s="135"/>
      <x:c r="F8" s="135"/>
      <x:c r="G8" s="135"/>
      <x:c r="H8" s="135"/>
    </x:row>
    <x:row r="9" ht="26" customHeight="1">
      <x:c r="A9" s="135" t="str">
        <x:v>4. Panel: revisa flujo libre, deuda y progreso del fondo.</x:v>
      </x:c>
      <x:c r="B9" s="135"/>
      <x:c r="C9" s="135"/>
      <x:c r="D9" s="135"/>
      <x:c r="E9" s="135"/>
      <x:c r="F9" s="135"/>
      <x:c r="G9" s="135"/>
      <x:c r="H9" s="135"/>
    </x:row>
    <x:row r="10" ht="26" customHeight="1">
      <x:c r="A10" s="135" t="str">
        <x:v>5. Cada domingo: actualiza cifras y decide una acción concreta.</x:v>
      </x:c>
      <x:c r="B10" s="135"/>
      <x:c r="C10" s="135"/>
      <x:c r="D10" s="135"/>
      <x:c r="E10" s="135"/>
      <x:c r="F10" s="135"/>
      <x:c r="G10" s="135"/>
      <x:c r="H10" s="135"/>
    </x:row>
    <x:row r="11" ht="26" customHeight="1">
      <x:c r="A11" s="136" t="str">
        <x:v>Consejo: si el flujo libre es negativo, no prometas ahorro que no puedes sostener.</x:v>
      </x:c>
      <x:c r="B11" s="136"/>
      <x:c r="C11" s="136"/>
      <x:c r="D11" s="136"/>
      <x:c r="E11" s="136"/>
      <x:c r="F11" s="136"/>
      <x:c r="G11" s="136"/>
      <x:c r="H11" s="136"/>
    </x:row>
    <x:row r="13" ht="24" customHeight="1">
      <x:c r="A13" s="24" t="str">
        <x:v>LEYENDA</x:v>
      </x:c>
      <x:c r="B13" s="24" t="str">
        <x:v>LEYENDA</x:v>
      </x:c>
      <x:c r="C13" s="24" t="str">
        <x:v>LEYENDA</x:v>
      </x:c>
      <x:c r="D13" s="24" t="str">
        <x:v>LEYENDA</x:v>
      </x:c>
    </x:row>
    <x:row r="14" ht="28" customHeight="1">
      <x:c r="A14" s="58" t="str">
        <x:v>Color</x:v>
      </x:c>
      <x:c r="B14" s="59" t="str">
        <x:v>Significado</x:v>
      </x:c>
    </x:row>
    <x:row r="15">
      <x:c r="A15" s="84" t="str">
        <x:v>Azul</x:v>
      </x:c>
      <x:c r="B15" t="str">
        <x:v>Dato editable</x:v>
      </x:c>
    </x:row>
    <x:row r="16">
      <x:c r="A16" s="138" t="str">
        <x:v>Verde</x:v>
      </x:c>
      <x:c r="B16" t="str">
        <x:v>Fórmula vinculada a otra hoja</x:v>
      </x:c>
    </x:row>
    <x:row r="17">
      <x:c r="A17" s="139" t="str">
        <x:v>Negro</x:v>
      </x:c>
      <x:c r="B17" t="str">
        <x:v>Cálculo automático</x:v>
      </x:c>
    </x:row>
    <x:row r="19" ht="24" customHeight="1">
      <x:c r="A19" s="24" t="str">
        <x:v>CONDICIONES DE LA RECOMPENSA</x:v>
      </x:c>
      <x:c r="B19" s="24" t="str">
        <x:v>CONDICIONES DE LA RECOMPENSA</x:v>
      </x:c>
      <x:c r="C19" s="24" t="str">
        <x:v>CONDICIONES DE LA RECOMPENSA</x:v>
      </x:c>
      <x:c r="D19" s="24" t="str">
        <x:v>CONDICIONES DE LA RECOMPENSA</x:v>
      </x:c>
      <x:c r="E19" s="24" t="str">
        <x:v>CONDICIONES DE LA RECOMPENSA</x:v>
      </x:c>
      <x:c r="F19" s="24" t="str">
        <x:v>CONDICIONES DE LA RECOMPENSA</x:v>
      </x:c>
      <x:c r="G19" s="24" t="str">
        <x:v>CONDICIONES DE LA RECOMPENSA</x:v>
      </x:c>
      <x:c r="H19" s="24" t="str">
        <x:v>CONDICIONES DE LA RECOMPENSA</x:v>
      </x:c>
    </x:row>
    <x:row r="20" ht="28" customHeight="1">
      <x:c r="A20" s="148" t="str">
        <x:v>Uso personal. Puedes modificar la plantilla y guardar tus propias copias.</x:v>
      </x:c>
      <x:c r="B20" s="149"/>
      <x:c r="C20" s="149"/>
      <x:c r="D20" s="149"/>
      <x:c r="E20" s="149"/>
      <x:c r="F20" s="149"/>
      <x:c r="G20" s="149"/>
      <x:c r="H20" s="150"/>
    </x:row>
    <x:row r="21" ht="28" customHeight="1">
      <x:c r="A21" s="151" t="str">
        <x:v>AETH en Base Sepolia es un token de prueba y no representa dinero real.</x:v>
      </x:c>
      <x:c r="B21" s="152"/>
      <x:c r="C21" s="152"/>
      <x:c r="D21" s="152"/>
      <x:c r="E21" s="152"/>
      <x:c r="F21" s="152"/>
      <x:c r="G21" s="152"/>
      <x:c r="H21" s="153"/>
    </x:row>
    <x:row r="22" ht="28" customHeight="1">
      <x:c r="A22" s="151" t="str">
        <x:v>La plantilla aporta utilidad al ecosistema; no fija ni garantiza un precio de mercado para AETH.</x:v>
      </x:c>
      <x:c r="B22" s="152"/>
      <x:c r="C22" s="152"/>
      <x:c r="D22" s="152"/>
      <x:c r="E22" s="152"/>
      <x:c r="F22" s="152"/>
      <x:c r="G22" s="152"/>
      <x:c r="H22" s="153"/>
    </x:row>
    <x:row r="23" ht="28" customHeight="1">
      <x:c r="A23" s="154" t="str">
        <x:v>Aethel no sustituye asesoría financiera, fiscal o legal profesional.</x:v>
      </x:c>
      <x:c r="B23" s="155"/>
      <x:c r="C23" s="155"/>
      <x:c r="D23" s="155"/>
      <x:c r="E23" s="155"/>
      <x:c r="F23" s="155"/>
      <x:c r="G23" s="155"/>
      <x:c r="H23" s="156"/>
    </x:row>
  </x:sheetData>
  <x:mergeCells>
    <x:mergeCell ref="A1:H2"/>
    <x:mergeCell ref="A3:H3"/>
    <x:mergeCell ref="A5:H5"/>
    <x:mergeCell ref="A6:H6"/>
    <x:mergeCell ref="A7:H7"/>
    <x:mergeCell ref="A8:H8"/>
    <x:mergeCell ref="A9:H9"/>
    <x:mergeCell ref="A10:H10"/>
    <x:mergeCell ref="A11:H11"/>
    <x:mergeCell ref="A13:D13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